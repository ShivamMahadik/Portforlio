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shiva\Downloads\4-hour-course-xl-files\"/>
    </mc:Choice>
  </mc:AlternateContent>
  <xr:revisionPtr revIDLastSave="0" documentId="13_ncr:1_{41D07D6A-E96A-41AC-AC9C-47412464A90B}" xr6:coauthVersionLast="47" xr6:coauthVersionMax="47" xr10:uidLastSave="{00000000-0000-0000-0000-000000000000}"/>
  <bookViews>
    <workbookView xWindow="-120" yWindow="-120" windowWidth="29040" windowHeight="15720" activeTab="2" xr2:uid="{26D4546B-D2A1-4444-8EAF-A6228F96F0C1}"/>
  </bookViews>
  <sheets>
    <sheet name="Pivots" sheetId="6" r:id="rId1"/>
    <sheet name="Data" sheetId="2" r:id="rId2"/>
    <sheet name="Customer Center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840" r:id="rId5"/>
    <pivotCache cacheId="844" r:id="rId6"/>
    <pivotCache cacheId="853" r:id="rId7"/>
    <pivotCache cacheId="1726" r:id="rId8"/>
    <pivotCache cacheId="1834" r:id="rId9"/>
    <pivotCache cacheId="1837" r:id="rId10"/>
    <pivotCache cacheId="1840" r:id="rId11"/>
    <pivotCache cacheId="1843" r:id="rId12"/>
    <pivotCache cacheId="1846" r:id="rId13"/>
  </pivotCaches>
  <extLst>
    <ext xmlns:x14="http://schemas.microsoft.com/office/spreadsheetml/2009/9/main" uri="{876F7934-8845-4945-9796-88D515C7AA90}">
      <x14:pivotCaches>
        <pivotCache cacheId="23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5" l="1"/>
  <c r="P21" i="5"/>
  <c r="Q21" i="5"/>
  <c r="R21" i="5"/>
  <c r="S21" i="5"/>
  <c r="N22" i="5" a="1"/>
  <c r="N22" i="5" s="1"/>
  <c r="I43" i="6"/>
  <c r="I46"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8" i="6" l="1"/>
  <c r="H47" i="6"/>
  <c r="H46" i="6"/>
  <c r="I45" i="6"/>
  <c r="I49" i="6"/>
  <c r="H45" i="6"/>
  <c r="H49" i="6"/>
  <c r="I48" i="6"/>
  <c r="I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26325-6D4E-45BB-BC94-4F092915C5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6ECB9C-600B-442B-9572-B5340ABEEA8E}"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1"/>
        </x15:connection>
      </ext>
    </extLst>
  </connection>
  <connection id="3" xr16:uid="{0BDF7DC5-B479-4973-AAE6-372A774DC3A8}"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<sst xmlns="http://schemas.openxmlformats.org/spreadsheetml/2006/main" count="3168" uniqueCount="1079">
  <si>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</si>
  <si>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</si>
  <si>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</si>
  <si>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</si>
  <si>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</si>
  <si>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</si>
  <si>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</si>
  <si>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</si>
  <si>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</si>
  <si>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</si>
  <si>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</si>
  <si>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</si>
  <si>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</si>
  <si>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</si>
  <si>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</si>
  <si>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</si>
  <si>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</si>
  <si>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</si>
  <si>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</si>
  <si>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</si>
  <si>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</si>
  <si>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</si>
  <si>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</si>
  <si>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</si>
  <si>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</si>
  <si>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</si>
  <si>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</si>
  <si>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</si>
  <si>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</si>
  <si>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</si>
  <si>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</si>
  <si>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</si>
  <si>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</si>
  <si>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</si>
  <si>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</si>
  <si>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</si>
  <si>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</si>
  <si>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</si>
  <si>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</si>
  <si>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</si>
  <si>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</si>
  <si>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</si>
  <si>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</si>
  <si>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</si>
  <si>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</si>
  <si>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</si>
  <si>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</si>
  <si>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</si>
  <si>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</si>
  <si>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</si>
  <si>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</si>
  <si>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</si>
  <si>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</si>
  <si>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</si>
  <si>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</si>
  <si>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</si>
  <si>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</si>
  <si>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</si>
  <si>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</si>
  <si>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</si>
  <si>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</si>
  <si>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</si>
  <si>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</si>
  <si>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</si>
  <si>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</si>
  <si>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</si>
  <si>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</si>
  <si>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</si>
  <si>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</si>
  <si>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</si>
  <si>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</si>
  <si>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</si>
  <si>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</si>
  <si>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</si>
  <si>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</si>
  <si>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</si>
  <si>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</si>
  <si>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</si>
  <si>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</si>
  <si>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</si>
  <si>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</si>
  <si>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</si>
  <si>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</si>
  <si>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</si>
  <si>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</si>
  <si>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</si>
  <si>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</si>
  <si>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</si>
  <si>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</si>
  <si>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</si>
  <si>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</si>
  <si>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</si>
  <si>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</si>
  <si>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</si>
  <si>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</si>
  <si>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</si>
  <si>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</si>
  <si>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</si>
  <si>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</si>
  <si>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</si>
  <si>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</si>
  <si>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</si>
  <si>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</si>
  <si>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</si>
  <si>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</si>
  <si>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</si>
  <si>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</si>
  <si>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</si>
  <si>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</si>
  <si>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</si>
  <si>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</si>
  <si>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</si>
  <si>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</si>
  <si>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</si>
  <si>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</si>
  <si>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</si>
  <si>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</si>
  <si>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</si>
  <si>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</si>
  <si>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</si>
  <si>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</si>
  <si>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</si>
  <si>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</si>
  <si>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</si>
  <si>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</si>
  <si>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</si>
  <si>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</si>
  <si>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</si>
  <si>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</si>
  <si>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</si>
  <si>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</si>
  <si>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</si>
  <si>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</si>
  <si>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</si>
  <si>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</si>
  <si>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</si>
  <si>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</si>
  <si>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</si>
  <si>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</si>
  <si>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</si>
  <si>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</si>
  <si>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</si>
  <si>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</si>
  <si>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</si>
  <si>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</si>
  <si>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</si>
  <si>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</si>
  <si>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</si>
  <si>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</si>
  <si>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</si>
  <si>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</si>
  <si>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</si>
  <si>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</si>
  <si>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</si>
  <si>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</si>
  <si>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</si>
  <si>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</si>
  <si>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</si>
  <si>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</si>
  <si>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</si>
  <si>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</si>
  <si>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</si>
  <si>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</si>
  <si>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</si>
  <si>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</si>
  <si>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</si>
  <si>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</si>
  <si>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</si>
  <si>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</si>
  <si>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</si>
  <si>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</si>
  <si>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</si>
  <si>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</si>
  <si>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</si>
  <si>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</si>
  <si>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</si>
  <si>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</si>
  <si>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</si>
  <si>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</si>
  <si>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</si>
  <si>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</si>
  <si>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</si>
  <si>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</si>
  <si>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</si>
  <si>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</si>
  <si>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</si>
  <si>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</si>
  <si>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</si>
  <si>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</si>
  <si>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</si>
  <si>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</si>
  <si>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</si>
  <si>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</si>
  <si>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</si>
  <si>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</si>
  <si>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</si>
  <si>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</si>
  <si>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</si>
  <si>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</si>
  <si>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</si>
  <si>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</si>
  <si>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</si>
  <si>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</si>
  <si>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</si>
  <si>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</si>
  <si>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</si>
  <si>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</si>
  <si>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</si>
  <si>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</si>
  <si>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</si>
  <si>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</si>
  <si>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</si>
  <si>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</si>
  <si>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</si>
  <si>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</si>
  <si>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</si>
  <si>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</si>
  <si>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</si>
  <si>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</si>
  <si>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</si>
  <si>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</si>
  <si>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</si>
  <si>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</si>
  <si>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</si>
  <si>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</si>
  <si>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</si>
  <si>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</si>
  <si>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</si>
  <si>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</si>
  <si>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</si>
  <si>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</si>
  <si>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</si>
  <si>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</si>
  <si>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</si>
  <si>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</si>
  <si>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</si>
  <si>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</si>
  <si>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</si>
  <si>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</si>
  <si>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</si>
  <si>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</si>
  <si>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</si>
  <si>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</si>
  <si>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</si>
  <si>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</si>
  <si>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</si>
  <si>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</si>
  <si>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</si>
  <si>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</si>
  <si>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</si>
  <si>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</si>
  <si>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</si>
  <si>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</si>
  <si>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</si>
  <si>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</si>
  <si>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</si>
  <si>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</si>
  <si>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</si>
  <si>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</si>
  <si>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</si>
  <si>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</si>
  <si>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</si>
  <si>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</si>
  <si>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</si>
  <si>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</si>
  <si>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</si>
  <si>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</si>
  <si>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</si>
  <si>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</si>
  <si>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</si>
  <si>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</si>
  <si>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</si>
  <si>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</si>
  <si>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</si>
  <si>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</si>
  <si>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</si>
  <si>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</si>
  <si>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</si>
  <si>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</si>
  <si>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</si>
  <si>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</si>
  <si>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</si>
  <si>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</si>
  <si>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</si>
  <si>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</si>
  <si>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</si>
  <si>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</si>
  <si>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</si>
  <si>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</si>
  <si>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</si>
  <si>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</si>
  <si>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</si>
  <si>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</si>
  <si>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</si>
  <si>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</si>
  <si>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</si>
  <si>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</si>
  <si>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</si>
  <si>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</si>
  <si>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</si>
  <si>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</si>
  <si>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</si>
  <si>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</si>
  <si>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</si>
  <si>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</si>
  <si>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</si>
  <si>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</si>
  <si>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</si>
  <si>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</si>
  <si>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</si>
  <si>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</si>
  <si>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</si>
  <si>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</si>
  <si>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</si>
  <si>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</si>
  <si>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</si>
  <si>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</si>
  <si>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</si>
  <si>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</si>
  <si>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</si>
  <si>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</si>
  <si>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</si>
  <si>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</si>
  <si>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</si>
  <si>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</si>
  <si>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</si>
  <si>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</si>
  <si>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</si>
  <si>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</si>
  <si>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</si>
  <si>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</si>
  <si>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</si>
  <si>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</si>
  <si>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</si>
  <si>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</si>
  <si>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</si>
  <si>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</si>
  <si>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</si>
  <si>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</si>
  <si>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</si>
  <si>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</si>
  <si>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</si>
  <si>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</si>
  <si>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</si>
  <si>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</si>
  <si>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</si>
  <si>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</si>
  <si>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</si>
  <si>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</si>
  <si>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</si>
  <si>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</si>
  <si>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</si>
  <si>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</si>
  <si>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</si>
  <si>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</si>
  <si>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</si>
  <si>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</si>
  <si>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</si>
  <si>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</si>
  <si>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</si>
  <si>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</si>
  <si>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</si>
  <si>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</si>
  <si>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</si>
  <si>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</si>
  <si>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</si>
  <si>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</si>
  <si>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</si>
  <si>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</si>
  <si>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</si>
  <si>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</si>
  <si>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</si>
  <si>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</si>
  <si>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</si>
  <si>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</si>
  <si>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</si>
  <si>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</si>
  <si>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</si>
  <si>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</si>
  <si>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</si>
  <si>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</si>
  <si>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</si>
  <si>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</si>
  <si>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</si>
  <si>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</si>
  <si>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</si>
  <si>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</si>
  <si>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</si>
  <si>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</si>
  <si>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</si>
  <si>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</si>
  <si>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</si>
  <si>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</si>
  <si>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</si>
  <si>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</si>
  <si>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</si>
  <si>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</si>
  <si>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</si>
  <si>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</si>
  <si>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</si>
  <si>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</si>
  <si>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</si>
  <si>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</si>
  <si>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</si>
  <si>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</si>
  <si>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</si>
  <si>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</si>
  <si>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</si>
  <si>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</si>
  <si>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</si>
  <si>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</si>
  <si>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</si>
  <si>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</si>
  <si>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</si>
  <si>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</si>
  <si>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</si>
  <si>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</si>
  <si>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</si>
  <si>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</si>
  <si>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</si>
  <si>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</si>
  <si>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</si>
  <si>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</si>
  <si>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</si>
  <si>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</si>
  <si>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</si>
  <si>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</si>
  <si>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</si>
  <si>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</si>
  <si>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</si>
  <si>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</si>
  <si>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</si>
  <si>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</si>
  <si>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</si>
  <si>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</si>
  <si>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</si>
  <si>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</si>
  <si>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</si>
  <si>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</si>
  <si>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</si>
  <si>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</si>
  <si>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</si>
  <si>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</si>
  <si>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</si>
  <si>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</si>
  <si>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</si>
  <si>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</si>
  <si>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</si>
  <si>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</si>
  <si>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</si>
  <si>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</si>
  <si>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</si>
  <si>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</si>
  <si>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</si>
  <si>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</si>
  <si>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</si>
  <si>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</si>
  <si>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</si>
  <si>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</si>
  <si>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</si>
  <si>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</si>
  <si>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</si>
  <si>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</si>
  <si>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</si>
  <si>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</si>
  <si>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</si>
  <si>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</si>
  <si>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</si>
  <si>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</si>
  <si>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</si>
  <si>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</si>
  <si>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</si>
  <si>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</si>
  <si>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</si>
  <si>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</si>
  <si>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</si>
  <si>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</si>
  <si>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</si>
  <si>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</si>
  <si>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</si>
  <si>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</si>
  <si>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</si>
  <si>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</si>
  <si>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</si>
  <si>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</si>
  <si>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</si>
  <si>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</si>
  <si>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</si>
  <si>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</si>
  <si>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</si>
  <si>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</si>
  <si>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</si>
  <si>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</si>
  <si>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</si>
  <si>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</si>
  <si>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</si>
  <si>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</si>
  <si>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</si>
  <si>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</si>
  <si>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</si>
  <si>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</si>
  <si>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</si>
  <si>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</si>
  <si>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</si>
  <si>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</si>
  <si>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</si>
  <si>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</si>
  <si>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</si>
  <si>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</si>
  <si>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</si>
  <si>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</si>
  <si>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</si>
  <si>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</si>
  <si>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</si>
  <si>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</si>
  <si>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</si>
  <si>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</si>
  <si>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</si>
  <si>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</si>
  <si>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</si>
  <si>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</si>
  <si>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</si>
  <si>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</si>
  <si>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</si>
  <si>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</si>
  <si>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</si>
  <si>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</si>
  <si>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</si>
  <si>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</si>
  <si>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</si>
  <si>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</si>
  <si>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</si>
  <si>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</si>
  <si>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</si>
  <si>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</si>
  <si>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</si>
  <si>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</si>
  <si>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</si>
  <si>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</si>
  <si>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</si>
  <si>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</si>
  <si>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</si>
  <si>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</si>
  <si>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</si>
  <si>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</si>
  <si>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</si>
  <si>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</si>
  <si>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</si>
  <si>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</si>
  <si>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</si>
  <si>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</si>
  <si>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</si>
  <si>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</si>
  <si>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</si>
  <si>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</si>
  <si>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</si>
  <si>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</si>
  <si>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</si>
  <si>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</si>
  <si>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</si>
  <si>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</si>
  <si>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</si>
  <si>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</si>
  <si>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</si>
  <si>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</si>
  <si>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</si>
  <si>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</si>
  <si>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</si>
  <si>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</si>
  <si>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</si>
  <si>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</si>
  <si>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</si>
  <si>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</si>
  <si>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</si>
  <si>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</si>
  <si>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</si>
  <si>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</si>
  <si>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</si>
  <si>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</si>
  <si>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</si>
  <si>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</si>
  <si>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</si>
  <si>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</si>
  <si>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</si>
  <si>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</si>
  <si>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</si>
  <si>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</si>
  <si>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</si>
  <si>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</si>
  <si>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</si>
  <si>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</si>
  <si>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</si>
  <si>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</si>
  <si>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</si>
  <si>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</si>
  <si>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</si>
  <si>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</si>
  <si>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</si>
  <si>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</si>
  <si>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</si>
  <si>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</si>
  <si>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</si>
  <si>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</si>
  <si>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</si>
  <si>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</si>
  <si>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</si>
  <si>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</si>
  <si>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</si>
  <si>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</si>
  <si>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</si>
  <si>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</si>
  <si>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</si>
  <si>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</si>
  <si>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</si>
  <si>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</si>
  <si>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</si>
  <si>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</si>
  <si>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</si>
  <si>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</si>
  <si>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</si>
  <si>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</si>
  <si>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</si>
  <si>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</si>
  <si>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</si>
  <si>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</si>
  <si>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</si>
  <si>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</si>
  <si>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</si>
  <si>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</si>
  <si>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</si>
  <si>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</si>
  <si>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</si>
  <si>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</si>
  <si>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</si>
  <si>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</si>
  <si>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</si>
  <si>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</si>
  <si>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</si>
  <si>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</si>
  <si>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</si>
  <si>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</si>
  <si>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</si>
  <si>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</si>
  <si>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</si>
  <si>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</si>
  <si>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</si>
  <si>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</si>
  <si>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</si>
  <si>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</si>
  <si>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</si>
  <si>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</si>
  <si>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</si>
  <si>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</si>
  <si>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</si>
  <si>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</si>
  <si>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</si>
  <si>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</si>
  <si>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</si>
  <si>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</si>
  <si>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</si>
  <si>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</si>
  <si>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</si>
  <si>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</si>
  <si>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</si>
  <si>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</si>
  <si>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</si>
  <si>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</si>
  <si>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</si>
  <si>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</si>
  <si>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</si>
  <si>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</si>
  <si>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</si>
  <si>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</si>
  <si>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</si>
  <si>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</si>
  <si>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</si>
  <si>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</si>
  <si>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</si>
  <si>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</si>
  <si>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</si>
  <si>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</si>
  <si>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</si>
  <si>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</si>
  <si>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</si>
  <si>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</si>
  <si>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</si>
  <si>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</si>
  <si>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</si>
  <si>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</si>
  <si>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</si>
  <si>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</si>
  <si>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</si>
  <si>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</si>
  <si>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</si>
  <si>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</si>
  <si>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</si>
  <si>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</si>
  <si>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</si>
  <si>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</si>
  <si>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</si>
  <si>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</si>
  <si>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</si>
  <si>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</si>
  <si>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</si>
  <si>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</si>
  <si>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</si>
  <si>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</si>
  <si>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</si>
  <si>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</si>
  <si>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</si>
  <si>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</si>
  <si>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</si>
  <si>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</si>
  <si>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</si>
  <si>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</si>
  <si>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</si>
  <si>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</si>
  <si>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</si>
  <si>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</si>
  <si>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</si>
  <si>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</si>
  <si>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</si>
  <si>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</si>
  <si>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</si>
  <si>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</si>
  <si>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</si>
  <si>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</si>
  <si>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</si>
  <si>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</si>
  <si>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</si>
  <si>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</si>
  <si>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</si>
  <si>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</si>
  <si>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</si>
  <si>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</si>
  <si>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</si>
  <si>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</si>
  <si>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</si>
  <si>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</si>
  <si>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</si>
  <si>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</si>
  <si>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</si>
  <si>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</si>
  <si>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</si>
  <si>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</si>
  <si>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</si>
  <si>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</si>
  <si>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</si>
  <si>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</si>
  <si>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</si>
  <si>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</si>
  <si>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</si>
  <si>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</si>
  <si>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</si>
  <si>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</si>
  <si>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</si>
  <si>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</si>
  <si>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</si>
  <si>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</si>
  <si>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</si>
  <si>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</si>
  <si>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</si>
  <si>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</si>
  <si>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</si>
  <si>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</si>
  <si>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</si>
  <si>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</si>
  <si>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</si>
  <si>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</si>
  <si>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</si>
  <si>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</si>
  <si>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</si>
  <si>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</si>
  <si>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</si>
  <si>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</si>
  <si>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</si>
  <si>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</si>
  <si>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</si>
  <si>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</si>
  <si>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</si>
  <si>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</si>
  <si>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</si>
  <si>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</si>
  <si>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</si>
  <si>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</si>
  <si>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</si>
  <si>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</si>
  <si>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</si>
  <si>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</si>
  <si>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</si>
  <si>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</si>
  <si>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</si>
  <si>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</si>
  <si>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</si>
  <si>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</si>
  <si>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</si>
  <si>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</si>
  <si>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</si>
  <si>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</si>
  <si>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</si>
  <si>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</si>
  <si>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</si>
  <si>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</si>
  <si>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</si>
  <si>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</si>
  <si>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</si>
  <si>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</si>
  <si>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</si>
  <si>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</si>
  <si>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</si>
  <si>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</si>
  <si>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</si>
  <si>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</si>
  <si>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</si>
  <si>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</si>
  <si>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</si>
  <si>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</si>
  <si>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</si>
  <si>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</si>
  <si>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</si>
  <si>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</si>
  <si>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</si>
  <si>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</si>
  <si>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</si>
  <si>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</si>
  <si>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</si>
  <si>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</si>
  <si>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</si>
  <si>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</si>
  <si>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</si>
  <si>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</si>
  <si>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</si>
  <si>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</si>
  <si>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</si>
  <si>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</si>
  <si>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</si>
  <si>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</si>
  <si>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</si>
  <si>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</si>
  <si>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</si>
  <si>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</si>
  <si>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</si>
  <si>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</si>
  <si>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</si>
  <si>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</si>
  <si>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</si>
  <si>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</si>
  <si>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</si>
  <si>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</si>
  <si>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</si>
  <si>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</si>
  <si>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</si>
  <si>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</si>
  <si>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</si>
  <si>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</si>
  <si>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</si>
  <si>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</si>
  <si>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</si>
  <si>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</si>
  <si>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</si>
  <si>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</si>
  <si>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</si>
  <si>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</si>
  <si>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</si>
  <si>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</si>
  <si>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</si>
  <si>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</si>
  <si>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</si>
  <si>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</si>
  <si>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</si>
  <si>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</si>
  <si>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</si>
  <si>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</si>
  <si>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</si>
  <si>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</si>
  <si>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</si>
  <si>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</si>
  <si>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</si>
  <si>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</si>
  <si>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</si>
  <si>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</si>
  <si>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</si>
  <si>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</si>
  <si>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</si>
  <si>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</si>
  <si>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</si>
  <si>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</si>
  <si>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</si>
  <si>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</si>
  <si>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</si>
  <si>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</si>
  <si>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</si>
  <si>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</si>
  <si>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</si>
  <si>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</si>
  <si>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</si>
  <si>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</si>
  <si>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</si>
  <si>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</si>
  <si>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</si>
  <si>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</si>
  <si>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</si>
  <si>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</si>
  <si>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</si>
  <si>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</si>
  <si>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</si>
  <si>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</si>
  <si>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</si>
  <si>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</si>
  <si>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</si>
  <si>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</si>
  <si>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</si>
  <si>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</si>
  <si>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</si>
  <si>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</si>
  <si>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</si>
  <si>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</si>
  <si>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</si>
  <si>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</si>
  <si>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</si>
  <si>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</si>
  <si>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</si>
  <si>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</si>
  <si>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</si>
  <si>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</si>
  <si>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</si>
  <si>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</si>
  <si>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</si>
  <si>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</si>
  <si>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</si>
  <si>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</si>
  <si>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</si>
  <si>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</si>
  <si>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</si>
  <si>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</si>
  <si>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</si>
  <si>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</si>
  <si>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</si>
  <si>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</si>
  <si>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</si>
  <si>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</si>
  <si>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</si>
  <si>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</si>
  <si>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</si>
  <si>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</si>
  <si>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</si>
  <si>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</si>
  <si>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</si>
  <si>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</si>
  <si>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</si>
  <si>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</si>
  <si>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</si>
  <si>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</si>
  <si>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</si>
  <si>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</si>
  <si>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</si>
  <si>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</si>
  <si>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</si>
  <si>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</si>
  <si>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</si>
  <si>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</si>
  <si>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</si>
  <si>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</si>
  <si>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</si>
  <si>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</si>
  <si>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</si>
  <si>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</si>
  <si>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</si>
  <si>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</si>
  <si>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</si>
  <si>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</si>
  <si>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</si>
  <si>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</si>
  <si>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</si>
  <si>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</si>
  <si>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</si>
  <si>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</si>
  <si>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</si>
  <si>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</si>
  <si>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</si>
  <si>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</si>
  <si>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</si>
  <si>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</si>
  <si>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</si>
  <si>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</si>
  <si>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</si>
  <si>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</si>
  <si>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</si>
  <si>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</si>
  <si>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</si>
  <si>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</si>
  <si>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</si>
  <si>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</si>
  <si>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</si>
  <si>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</si>
  <si>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</si>
  <si>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</si>
  <si>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</si>
  <si>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</si>
  <si>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</si>
  <si>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</si>
  <si>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</si>
  <si>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</si>
  <si>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</si>
  <si>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</si>
  <si>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</si>
  <si>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</si>
  <si>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</si>
  <si>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</si>
  <si>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</si>
  <si>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</si>
  <si>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</si>
  <si>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</si>
  <si>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</si>
  <si>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</si>
  <si>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</si>
  <si>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</si>
  <si>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</si>
  <si>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</si>
  <si>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</si>
  <si>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</si>
  <si>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</si>
  <si>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</si>
  <si>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</si>
  <si>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</si>
  <si>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</si>
  <si>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</si>
  <si>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</si>
  <si>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</si>
  <si>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</si>
  <si>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</si>
  <si>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</si>
  <si>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</si>
  <si>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</si>
  <si>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</si>
  <si>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</si>
  <si>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</si>
  <si>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</si>
  <si>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</si>
  <si>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</si>
  <si>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</si>
  <si>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</si>
  <si>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</si>
  <si>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</si>
  <si>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</si>
  <si>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5* calls</t>
  </si>
  <si>
    <t>Avg. Rating</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</si>
  <si>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</si>
  <si>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</si>
  <si>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</si>
  <si>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</si>
  <si>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</si>
  <si>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</si>
  <si>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</si>
  <si>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</si>
  <si>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</si>
  <si>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</si>
  <si>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</si>
  <si>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</si>
  <si>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</si>
  <si>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</si>
  <si>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</si>
  <si>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</si>
  <si>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</si>
  <si>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</si>
  <si>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</si>
  <si>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</si>
  <si>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</si>
  <si>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</si>
  <si>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Count of Call number</t>
  </si>
  <si>
    <t>Rep</t>
  </si>
  <si>
    <t xml:space="preserve">Calls </t>
  </si>
  <si>
    <t>Amount</t>
  </si>
  <si>
    <t>Sels. Calls.</t>
  </si>
  <si>
    <t>Sel. Amount</t>
  </si>
  <si>
    <t>selected reps</t>
  </si>
  <si>
    <t>Column Labels</t>
  </si>
  <si>
    <t>Total</t>
  </si>
  <si>
    <t>Call Center Analyis Report 2024 - 2025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</si>
</sst>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0"/>
    <numFmt numFmtId="166" formatCode="0.0"/>
    <numFmt numFmtId="170" formatCode="&quot;$&quot;#,###.0,&quot;K&quot;"/>
    <numFmt numFmtId="173" formatCode="&quot;$&quot;#,##0;[Red]&quot;$&quot;#,##0"/>
  </numFmts>
  <fonts count="8" x14ac:knownFonts="1">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11"/>
      <color theme="1"/>
      <name val="Franklin Gothic Book"/>
      <family val="2"/>
      <scheme val="minor"/>
    </font>
    <font>
      <sz val="11"/>
      <color rgb="FFFF0000"/>
      <name val="Franklin Gothic Book"/>
      <family val="2"/>
      <scheme val="minor"/>
    </font>
    <font>
      <b/>
      <sz val="20"/>
      <color theme="8" tint="-0.249977111117893"/>
      <name val="Franklin Gothic Medium"/>
      <family val="2"/>
      <scheme val="major"/>
    </font>
    <font>
      <b/>
      <sz val="12"/>
      <color theme="1"/>
      <name val="Franklin Gothic Book"/>
      <family val="2"/>
      <scheme val="minor"/>
    </font>
  </fonts>
  <fills count="6">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9"/>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4" fillId="0" borderId="0" applyFont="0" applyFill="0" applyBorder="0" applyAlignment="0" applyProtection="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applyNumberFormat="1"/>
    <xf numFmtId="1"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applyBorder="1"/>
    <xf numFmtId="0" fontId="0" fillId="0" borderId="0" xfId="0" applyAlignment="1">
      <alignment horizontal="left"/>
    </xf>
    <xf numFmtId="170" fontId="0" fillId="0" borderId="0" xfId="1" applyNumberFormat="1" applyFont="1"/>
    <xf numFmtId="0" fontId="0" fillId="4" borderId="0" xfId="0" applyFill="1" applyAlignment="1">
      <alignment horizontal="left"/>
    </xf>
    <xf numFmtId="0" fontId="5" fillId="5" borderId="0" xfId="0" applyFont="1" applyFill="1"/>
    <xf numFmtId="0" fontId="5" fillId="5" borderId="0" xfId="0" applyFont="1" applyFill="1" applyBorder="1"/>
    <xf numFmtId="0" fontId="0" fillId="0" borderId="0" xfId="0" applyAlignment="1">
      <alignment horizontal="left" indent="1"/>
    </xf>
    <xf numFmtId="0" fontId="0" fillId="5" borderId="0" xfId="0" applyFill="1"/>
    <xf numFmtId="0" fontId="0" fillId="5" borderId="0" xfId="0" applyFont="1" applyFill="1"/>
    <xf numFmtId="0" fontId="0" fillId="5" borderId="0" xfId="0" applyFont="1" applyFill="1" applyBorder="1"/>
    <xf numFmtId="0" fontId="0" fillId="3" borderId="0" xfId="0" applyFont="1" applyFill="1" applyBorder="1"/>
    <xf numFmtId="173" fontId="0" fillId="3" borderId="0" xfId="1" applyNumberFormat="1" applyFont="1" applyFill="1" applyBorder="1" applyAlignment="1"/>
    <xf numFmtId="0" fontId="6" fillId="3" borderId="0" xfId="0" applyFont="1" applyFill="1" applyAlignment="1">
      <alignment horizontal="center" vertical="center"/>
    </xf>
    <xf numFmtId="0" fontId="7" fillId="3" borderId="0" xfId="0" applyFont="1" applyFill="1" applyBorder="1"/>
  </cellXfs>
  <cellStyles count="2">
    <cellStyle name="Currency" xfId="1" builtinId="4"/>
    <cellStyle name="Normal" xfId="0" builtinId="0"/>
  </cellStyles>
  <dxfs count="25">
    <dxf>
      <fill>
        <patternFill patternType="solid">
          <bgColor theme="9"/>
        </patternFill>
      </fill>
    </dxf>
    <dxf>
      <fill>
        <patternFill patternType="solid">
          <bgColor theme="9"/>
        </patternFill>
      </fill>
    </dxf>
    <dxf>
      <fill>
        <patternFill patternType="solid">
          <bgColor theme="9"/>
        </patternFill>
      </fill>
    </dxf>
    <dxf>
      <fill>
        <patternFill>
          <bgColor theme="8" tint="0.59996337778862885"/>
        </patternFill>
      </fill>
      <border>
        <vertical/>
        <horizontal/>
      </bord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[07.sample-data-excel-portfolio-project.xlsx]Pivots!PivotTable14</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 Count2</c:v>
                </c:pt>
              </c:strCache>
            </c:strRef>
          </c:tx>
          <c:spPr>
            <a:solidFill>
              <a:schemeClr val="accent2"/>
            </a:soli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2-DE5B-436E-9BFF-B3AFB4F20D59}"/>
            </c:ext>
          </c:extLst>
        </c:ser>
        <c:dLbls>
          <c:showLegendKey val="0"/>
          <c:showVal val="0"/>
          <c:showCatName val="0"/>
          <c:showSerName val="0"/>
          <c:showPercent val="0"/>
          <c:showBubbleSize val="0"/>
        </c:dLbls>
        <c:axId val="1854195792"/>
        <c:axId val="1854194832"/>
      </c:areaChart>
      <c:lineChart>
        <c:grouping val="standard"/>
        <c:varyColors val="0"/>
        <c:ser>
          <c:idx val="0"/>
          <c:order val="0"/>
          <c:tx>
            <c:strRef>
              <c:f>Pivots!$B$13</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DE5B-436E-9BFF-B3AFB4F20D59}"/>
            </c:ext>
          </c:extLst>
        </c:ser>
        <c:dLbls>
          <c:showLegendKey val="0"/>
          <c:showVal val="0"/>
          <c:showCatName val="0"/>
          <c:showSerName val="0"/>
          <c:showPercent val="0"/>
          <c:showBubbleSize val="0"/>
        </c:dLbls>
        <c:marker val="1"/>
        <c:smooth val="0"/>
        <c:axId val="1854195792"/>
        <c:axId val="1854194832"/>
      </c:lineChart>
      <c:catAx>
        <c:axId val="18541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94832"/>
        <c:crosses val="autoZero"/>
        <c:auto val="1"/>
        <c:lblAlgn val="ctr"/>
        <c:lblOffset val="100"/>
        <c:noMultiLvlLbl val="0"/>
      </c:catAx>
      <c:valAx>
        <c:axId val="185419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9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[07.sample-data-excel-portfolio-project.xlsx]Pivots!PivotTable15</c:name>
    <c:fmtId val="2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Pivots!$A$29:$A$36</c:f>
              <c:strCache>
                <c:ptCount val="7"/>
                <c:pt idx="0">
                  <c:v>Sunday</c:v>
                </c:pt>
                <c:pt idx="1">
                  <c:v>Monday</c:v>
                </c:pt>
                <c:pt idx="2">
                  <c:v>Tuesday</c:v>
                </c:pt>
                <c:pt idx="3">
                  <c:v>Wednesday</c:v>
                </c:pt>
                <c:pt idx="4">
                  <c:v>Thursday</c:v>
                </c:pt>
                <c:pt idx="5">
                  <c:v>Friday</c:v>
                </c:pt>
                <c:pt idx="6">
                  <c:v>Saturday</c:v>
                </c:pt>
              </c:strCache>
            </c:strRef>
          </c:cat>
          <c:val>
            <c:numRef>
              <c:f>Pivots!$B$29:$B$36</c:f>
              <c:numCache>
                <c:formatCode>General</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2664-45F3-AE81-ADFEF8226B8F}"/>
            </c:ext>
          </c:extLst>
        </c:ser>
        <c:dLbls>
          <c:showLegendKey val="0"/>
          <c:showVal val="0"/>
          <c:showCatName val="0"/>
          <c:showSerName val="0"/>
          <c:showPercent val="0"/>
          <c:showBubbleSize val="0"/>
        </c:dLbls>
        <c:gapWidth val="182"/>
        <c:axId val="265252271"/>
        <c:axId val="265252751"/>
      </c:barChart>
      <c:catAx>
        <c:axId val="265252271"/>
        <c:scaling>
          <c:orientation val="maxMin"/>
        </c:scaling>
        <c:delete val="1"/>
        <c:axPos val="l"/>
        <c:numFmt formatCode="General" sourceLinked="1"/>
        <c:majorTickMark val="none"/>
        <c:minorTickMark val="none"/>
        <c:tickLblPos val="nextTo"/>
        <c:crossAx val="265252751"/>
        <c:crosses val="autoZero"/>
        <c:auto val="1"/>
        <c:lblAlgn val="ctr"/>
        <c:lblOffset val="100"/>
        <c:noMultiLvlLbl val="0"/>
      </c:catAx>
      <c:valAx>
        <c:axId val="265252751"/>
        <c:scaling>
          <c:orientation val="minMax"/>
        </c:scaling>
        <c:delete val="1"/>
        <c:axPos val="t"/>
        <c:numFmt formatCode="General" sourceLinked="1"/>
        <c:majorTickMark val="none"/>
        <c:minorTickMark val="none"/>
        <c:tickLblPos val="nextTo"/>
        <c:crossAx val="26525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Pivots!$F$45:$F$49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089-4B71-BB5F-7E0DD9237C9B}"/>
            </c:ext>
          </c:extLst>
        </c:ser>
        <c:ser>
          <c:idx val="1"/>
          <c:order val="1"/>
          <c:tx>
            <c:strRef>
              <c:f>Pivots!$H$44</c:f>
              <c:strCache>
                <c:ptCount val="1"/>
                <c:pt idx="0">
                  <c:v>Sels. Calls.</c:v>
                </c:pt>
              </c:strCache>
            </c:strRef>
          </c:tx>
          <c:spPr>
            <a:gradFill flip="none" rotWithShape="1">
              <a:gsLst>
                <a:gs pos="0">
                  <a:schemeClr val="accent5">
                    <a:lumMod val="60000"/>
                    <a:lumOff val="40000"/>
                  </a:schemeClr>
                </a:gs>
                <a:gs pos="66000">
                  <a:srgbClr val="FF984B"/>
                </a:gs>
                <a:gs pos="85000">
                  <a:schemeClr val="accent5"/>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Pivots!$H$45:$H$49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A089-4B71-BB5F-7E0DD9237C9B}"/>
            </c:ext>
          </c:extLst>
        </c:ser>
        <c:dLbls>
          <c:dLblPos val="outEnd"/>
          <c:showLegendKey val="0"/>
          <c:showVal val="1"/>
          <c:showCatName val="0"/>
          <c:showSerName val="0"/>
          <c:showPercent val="0"/>
          <c:showBubbleSize val="0"/>
        </c:dLbls>
        <c:gapWidth val="52"/>
        <c:overlap val="100"/>
        <c:axId val="1607062736"/>
        <c:axId val="1798345216"/>
      </c:barChart>
      <c:catAx>
        <c:axId val="1607062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45216"/>
        <c:crosses val="autoZero"/>
        <c:auto val="1"/>
        <c:lblAlgn val="ctr"/>
        <c:lblOffset val="100"/>
        <c:noMultiLvlLbl val="0"/>
      </c:catAx>
      <c:valAx>
        <c:axId val="1798345216"/>
        <c:scaling>
          <c:orientation val="minMax"/>
          <c:min val="0"/>
        </c:scaling>
        <c:delete val="1"/>
        <c:axPos val="t"/>
        <c:numFmt formatCode="General" sourceLinked="1"/>
        <c:majorTickMark val="none"/>
        <c:minorTickMark val="none"/>
        <c:tickLblPos val="nextTo"/>
        <c:crossAx val="16070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Pivots!$G$45:$G$49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D16-4C6A-B6DB-035DFC9559B2}"/>
            </c:ext>
          </c:extLst>
        </c:ser>
        <c:ser>
          <c:idx val="1"/>
          <c:order val="1"/>
          <c:tx>
            <c:strRef>
              <c:f>Pivots!$I$44</c:f>
              <c:strCache>
                <c:ptCount val="1"/>
                <c:pt idx="0">
                  <c:v>Sel. Amount</c:v>
                </c:pt>
              </c:strCache>
            </c:strRef>
          </c:tx>
          <c:spPr>
            <a:gradFill flip="none" rotWithShape="1">
              <a:gsLst>
                <a:gs pos="0">
                  <a:schemeClr val="accent5">
                    <a:lumMod val="60000"/>
                    <a:lumOff val="40000"/>
                  </a:schemeClr>
                </a:gs>
                <a:gs pos="24000">
                  <a:srgbClr val="FF984B"/>
                </a:gs>
                <a:gs pos="100000">
                  <a:schemeClr val="accent5"/>
                </a:gs>
              </a:gsLst>
              <a:lin ang="2700000" scaled="1"/>
              <a:tileRect/>
            </a:gradFill>
            <a:ln>
              <a:noFill/>
            </a:ln>
            <a:effectLst/>
          </c:spPr>
          <c:invertIfNegative val="0"/>
          <c:dLbls>
            <c:delete val="1"/>
          </c:dLbls>
          <c:val>
            <c:numRef>
              <c:f>Pivots!$I$45:$I$49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6D16-4C6A-B6DB-035DFC9559B2}"/>
            </c:ext>
          </c:extLst>
        </c:ser>
        <c:dLbls>
          <c:dLblPos val="outEnd"/>
          <c:showLegendKey val="0"/>
          <c:showVal val="1"/>
          <c:showCatName val="0"/>
          <c:showSerName val="0"/>
          <c:showPercent val="0"/>
          <c:showBubbleSize val="0"/>
        </c:dLbls>
        <c:gapWidth val="50"/>
        <c:overlap val="100"/>
        <c:axId val="1665095136"/>
        <c:axId val="1665096576"/>
      </c:barChart>
      <c:catAx>
        <c:axId val="1665095136"/>
        <c:scaling>
          <c:orientation val="maxMin"/>
        </c:scaling>
        <c:delete val="1"/>
        <c:axPos val="l"/>
        <c:numFmt formatCode="General" sourceLinked="1"/>
        <c:majorTickMark val="out"/>
        <c:minorTickMark val="none"/>
        <c:tickLblPos val="nextTo"/>
        <c:crossAx val="1665096576"/>
        <c:crosses val="autoZero"/>
        <c:auto val="1"/>
        <c:lblAlgn val="ctr"/>
        <c:lblOffset val="100"/>
        <c:noMultiLvlLbl val="0"/>
      </c:catAx>
      <c:valAx>
        <c:axId val="1665096576"/>
        <c:scaling>
          <c:orientation val="minMax"/>
        </c:scaling>
        <c:delete val="1"/>
        <c:axPos val="t"/>
        <c:numFmt formatCode="&quot;$&quot;#,###.0,&quot;K&quot;" sourceLinked="1"/>
        <c:majorTickMark val="out"/>
        <c:minorTickMark val="none"/>
        <c:tickLblPos val="nextTo"/>
        <c:crossAx val="166509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[07.sample-data-excel-portfolio-project.xlsx]Pivots!PivotTable20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solidFill>
                  <a:schemeClr val="accent5">
                    <a:lumMod val="60000"/>
                    <a:lumOff val="40000"/>
                  </a:schemeClr>
                </a:solidFill>
              </a:rPr>
              <a:t>Male</a:t>
            </a:r>
            <a:r>
              <a:rPr lang="en-AU" b="1" baseline="0"/>
              <a:t> vs </a:t>
            </a:r>
            <a:r>
              <a:rPr lang="en-AU" b="1" baseline="0">
                <a:solidFill>
                  <a:schemeClr val="accent4">
                    <a:lumMod val="60000"/>
                    <a:lumOff val="40000"/>
                  </a:schemeClr>
                </a:solidFill>
              </a:rPr>
              <a:t>Female</a:t>
            </a:r>
            <a:r>
              <a:rPr lang="en-AU" b="1" baseline="0"/>
              <a:t> Callers</a:t>
            </a:r>
            <a:endParaRPr lang="en-AU"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Pivots!$B$61:$B$62</c:f>
              <c:strCache>
                <c:ptCount val="1"/>
                <c:pt idx="0">
                  <c:v>Female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Pivots!$B$63:$B$66</c:f>
              <c:numCache>
                <c:formatCode>0</c:formatCode>
                <c:ptCount val="3"/>
                <c:pt idx="0">
                  <c:v>144</c:v>
                </c:pt>
                <c:pt idx="1">
                  <c:v>326</c:v>
                </c:pt>
                <c:pt idx="2">
                  <c:v>129</c:v>
                </c:pt>
              </c:numCache>
            </c:numRef>
          </c:val>
          <c:extLst>
            <c:ext xmlns:c16="http://schemas.microsoft.com/office/drawing/2014/chart" uri="{C3380CC4-5D6E-409C-BE32-E72D297353CC}">
              <c16:uniqueId val="{00000000-3B24-433E-B329-B42D0FE6358C}"/>
            </c:ext>
          </c:extLst>
        </c:ser>
        <c:ser>
          <c:idx val="1"/>
          <c:order val="1"/>
          <c:tx>
            <c:strRef>
              <c:f>Pivots!$C$61:$C$62</c:f>
              <c:strCache>
                <c:ptCount val="1"/>
                <c:pt idx="0">
                  <c:v>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Pivots!$C$63:$C$66</c:f>
              <c:numCache>
                <c:formatCode>0</c:formatCode>
                <c:ptCount val="3"/>
                <c:pt idx="0">
                  <c:v>132</c:v>
                </c:pt>
                <c:pt idx="1">
                  <c:v>63</c:v>
                </c:pt>
                <c:pt idx="2">
                  <c:v>206</c:v>
                </c:pt>
              </c:numCache>
            </c:numRef>
          </c:val>
          <c:extLst>
            <c:ext xmlns:c16="http://schemas.microsoft.com/office/drawing/2014/chart" uri="{C3380CC4-5D6E-409C-BE32-E72D297353CC}">
              <c16:uniqueId val="{00000001-3B24-433E-B329-B42D0FE6358C}"/>
            </c:ext>
          </c:extLst>
        </c:ser>
        <c:dLbls>
          <c:dLblPos val="ctr"/>
          <c:showLegendKey val="0"/>
          <c:showVal val="1"/>
          <c:showCatName val="0"/>
          <c:showSerName val="0"/>
          <c:showPercent val="0"/>
          <c:showBubbleSize val="0"/>
        </c:dLbls>
        <c:gapWidth val="150"/>
        <c:overlap val="100"/>
        <c:axId val="487515151"/>
        <c:axId val="487516591"/>
      </c:barChart>
      <c:catAx>
        <c:axId val="487515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16591"/>
        <c:crosses val="autoZero"/>
        <c:auto val="1"/>
        <c:lblAlgn val="ctr"/>
        <c:lblOffset val="100"/>
        <c:noMultiLvlLbl val="0"/>
      </c:catAx>
      <c:valAx>
        <c:axId val="487516591"/>
        <c:scaling>
          <c:orientation val="minMax"/>
        </c:scaling>
        <c:delete val="1"/>
        <c:axPos val="l"/>
        <c:numFmt formatCode="0%" sourceLinked="1"/>
        <c:majorTickMark val="out"/>
        <c:minorTickMark val="none"/>
        <c:tickLblPos val="nextTo"/>
        <c:crossAx val="48751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[07.sample-data-excel-portfolio-project.xlsx]Pivots!PivotTable15</c:name>
    <c:fmtId val="2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Pivots!$B$28</c:f>
              <c:strCache>
                <c:ptCount val="1"/>
                <c:pt idx="0">
                  <c:v>Total</c:v>
                </c:pt>
              </c:strCache>
            </c:strRef>
          </c:tx>
          <c:spPr>
            <a:solidFill>
              <a:schemeClr val="accent6"/>
            </a:solidFill>
            <a:ln>
              <a:noFill/>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Pivots!$A$29:$A$36</c:f>
              <c:strCache>
                <c:ptCount val="7"/>
                <c:pt idx="0">
                  <c:v>Sunday</c:v>
                </c:pt>
                <c:pt idx="1">
                  <c:v>Monday</c:v>
                </c:pt>
                <c:pt idx="2">
                  <c:v>Tuesday</c:v>
                </c:pt>
                <c:pt idx="3">
                  <c:v>Wednesday</c:v>
                </c:pt>
                <c:pt idx="4">
                  <c:v>Thursday</c:v>
                </c:pt>
                <c:pt idx="5">
                  <c:v>Friday</c:v>
                </c:pt>
                <c:pt idx="6">
                  <c:v>Saturday</c:v>
                </c:pt>
              </c:strCache>
            </c:strRef>
          </c:cat>
          <c:val>
            <c:numRef>
              <c:f>Pivots!$B$29:$B$36</c:f>
              <c:numCache>
                <c:formatCode>General</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2900-4D82-81ED-0C235F23EA85}"/>
            </c:ext>
          </c:extLst>
        </c:ser>
        <c:dLbls>
          <c:showLegendKey val="0"/>
          <c:showVal val="0"/>
          <c:showCatName val="0"/>
          <c:showSerName val="0"/>
          <c:showPercent val="0"/>
          <c:showBubbleSize val="0"/>
        </c:dLbls>
        <c:gapWidth val="22"/>
        <c:axId val="265252271"/>
        <c:axId val="265252751"/>
      </c:barChart>
      <c:catAx>
        <c:axId val="265252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52751"/>
        <c:crosses val="autoZero"/>
        <c:auto val="1"/>
        <c:lblAlgn val="ctr"/>
        <c:lblOffset val="100"/>
        <c:noMultiLvlLbl val="0"/>
      </c:catAx>
      <c:valAx>
        <c:axId val="265252751"/>
        <c:scaling>
          <c:orientation val="minMax"/>
        </c:scaling>
        <c:delete val="1"/>
        <c:axPos val="b"/>
        <c:numFmt formatCode="General" sourceLinked="1"/>
        <c:majorTickMark val="out"/>
        <c:minorTickMark val="none"/>
        <c:tickLblPos val="nextTo"/>
        <c:crossAx val="26525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99000">
                <a:schemeClr val="accent6">
                  <a:lumMod val="60000"/>
                  <a:lumOff val="40000"/>
                  <a:alpha val="73000"/>
                </a:schemeClr>
              </a:gs>
              <a:gs pos="0">
                <a:schemeClr val="accent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6"/>
          <c:spPr>
            <a:solidFill>
              <a:schemeClr val="bg1"/>
            </a:solidFill>
            <a:ln w="190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 Count2</c:v>
                </c:pt>
              </c:strCache>
            </c:strRef>
          </c:tx>
          <c:spPr>
            <a:gradFill>
              <a:gsLst>
                <a:gs pos="99000">
                  <a:schemeClr val="accent6">
                    <a:lumMod val="60000"/>
                    <a:lumOff val="40000"/>
                    <a:alpha val="73000"/>
                  </a:schemeClr>
                </a:gs>
                <a:gs pos="0">
                  <a:schemeClr val="accent6"/>
                </a:gs>
              </a:gsLst>
              <a:lin ang="5400000" scaled="1"/>
            </a:gra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1917-409B-83C1-D1B1A2E2C1D7}"/>
            </c:ext>
          </c:extLst>
        </c:ser>
        <c:dLbls>
          <c:showLegendKey val="0"/>
          <c:showVal val="0"/>
          <c:showCatName val="0"/>
          <c:showSerName val="0"/>
          <c:showPercent val="0"/>
          <c:showBubbleSize val="0"/>
        </c:dLbls>
        <c:axId val="1854195792"/>
        <c:axId val="1854194832"/>
      </c:areaChart>
      <c:lineChart>
        <c:grouping val="standard"/>
        <c:varyColors val="0"/>
        <c:ser>
          <c:idx val="0"/>
          <c:order val="0"/>
          <c:tx>
            <c:strRef>
              <c:f>Pivots!$B$13</c:f>
              <c:strCache>
                <c:ptCount val="1"/>
                <c:pt idx="0">
                  <c:v>Call Count</c:v>
                </c:pt>
              </c:strCache>
            </c:strRef>
          </c:tx>
          <c:spPr>
            <a:ln w="28575" cap="rnd">
              <a:solidFill>
                <a:schemeClr val="accent6"/>
              </a:solidFill>
              <a:round/>
            </a:ln>
            <a:effectLst/>
          </c:spPr>
          <c:marker>
            <c:symbol val="circle"/>
            <c:size val="6"/>
            <c:spPr>
              <a:solidFill>
                <a:schemeClr val="bg1"/>
              </a:solidFill>
              <a:ln w="19050">
                <a:solidFill>
                  <a:schemeClr val="tx1"/>
                </a:solid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1917-409B-83C1-D1B1A2E2C1D7}"/>
            </c:ext>
          </c:extLst>
        </c:ser>
        <c:dLbls>
          <c:showLegendKey val="0"/>
          <c:showVal val="0"/>
          <c:showCatName val="0"/>
          <c:showSerName val="0"/>
          <c:showPercent val="0"/>
          <c:showBubbleSize val="0"/>
        </c:dLbls>
        <c:marker val="1"/>
        <c:smooth val="0"/>
        <c:axId val="1854195792"/>
        <c:axId val="1854194832"/>
      </c:lineChart>
      <c:catAx>
        <c:axId val="185419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94832"/>
        <c:crosses val="autoZero"/>
        <c:auto val="1"/>
        <c:lblAlgn val="ctr"/>
        <c:lblOffset val="100"/>
        <c:noMultiLvlLbl val="0"/>
      </c:catAx>
      <c:valAx>
        <c:axId val="185419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9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AU" sz="1800" b="1">
                <a:solidFill>
                  <a:schemeClr val="accent5"/>
                </a:solidFill>
              </a:rPr>
              <a:t>Calls</a:t>
            </a:r>
            <a:endParaRPr lang="en-AU" b="1">
              <a:solidFill>
                <a:schemeClr val="accent5"/>
              </a:solidFill>
            </a:endParaRPr>
          </a:p>
        </c:rich>
      </c:tx>
      <c:layout>
        <c:manualLayout>
          <c:xMode val="edge"/>
          <c:yMode val="edge"/>
          <c:x val="0.13240616797900262"/>
          <c:y val="3.777778571012123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Pivots!$F$45:$F$49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9CF-4B8B-8097-7BDA1193B186}"/>
            </c:ext>
          </c:extLst>
        </c:ser>
        <c:ser>
          <c:idx val="1"/>
          <c:order val="1"/>
          <c:tx>
            <c:strRef>
              <c:f>Pivots!$H$44</c:f>
              <c:strCache>
                <c:ptCount val="1"/>
                <c:pt idx="0">
                  <c:v>Sels. Calls.</c:v>
                </c:pt>
              </c:strCache>
            </c:strRef>
          </c:tx>
          <c:spPr>
            <a:gradFill flip="none" rotWithShape="1">
              <a:gsLst>
                <a:gs pos="0">
                  <a:schemeClr val="accent5">
                    <a:lumMod val="60000"/>
                    <a:lumOff val="40000"/>
                  </a:schemeClr>
                </a:gs>
                <a:gs pos="66000">
                  <a:srgbClr val="FF984B"/>
                </a:gs>
                <a:gs pos="85000">
                  <a:schemeClr val="accent5"/>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Pivots!$H$45:$H$49</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39CF-4B8B-8097-7BDA1193B186}"/>
            </c:ext>
          </c:extLst>
        </c:ser>
        <c:dLbls>
          <c:dLblPos val="outEnd"/>
          <c:showLegendKey val="0"/>
          <c:showVal val="1"/>
          <c:showCatName val="0"/>
          <c:showSerName val="0"/>
          <c:showPercent val="0"/>
          <c:showBubbleSize val="0"/>
        </c:dLbls>
        <c:gapWidth val="52"/>
        <c:overlap val="100"/>
        <c:axId val="1607062736"/>
        <c:axId val="1798345216"/>
      </c:barChart>
      <c:catAx>
        <c:axId val="1607062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45216"/>
        <c:crosses val="autoZero"/>
        <c:auto val="1"/>
        <c:lblAlgn val="ctr"/>
        <c:lblOffset val="100"/>
        <c:noMultiLvlLbl val="0"/>
      </c:catAx>
      <c:valAx>
        <c:axId val="1798345216"/>
        <c:scaling>
          <c:orientation val="minMax"/>
          <c:min val="0"/>
        </c:scaling>
        <c:delete val="1"/>
        <c:axPos val="t"/>
        <c:numFmt formatCode="General" sourceLinked="1"/>
        <c:majorTickMark val="none"/>
        <c:minorTickMark val="none"/>
        <c:tickLblPos val="nextTo"/>
        <c:crossAx val="16070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800" b="1">
                <a:solidFill>
                  <a:schemeClr val="accent5"/>
                </a:solidFill>
              </a:rPr>
              <a:t>Amount</a:t>
            </a:r>
          </a:p>
        </c:rich>
      </c:tx>
      <c:layout>
        <c:manualLayout>
          <c:xMode val="edge"/>
          <c:yMode val="edge"/>
          <c:x val="8.5882286608528854E-2"/>
          <c:y val="4.1555576642374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Pivots!$E$45:$E$49</c:f>
              <c:strCache>
                <c:ptCount val="5"/>
                <c:pt idx="0">
                  <c:v>R01</c:v>
                </c:pt>
                <c:pt idx="1">
                  <c:v>R02</c:v>
                </c:pt>
                <c:pt idx="2">
                  <c:v>R03</c:v>
                </c:pt>
                <c:pt idx="3">
                  <c:v>R04</c:v>
                </c:pt>
                <c:pt idx="4">
                  <c:v>R05</c:v>
                </c:pt>
              </c:strCache>
            </c:strRef>
          </c:cat>
          <c:val>
            <c:numRef>
              <c:f>Pivots!$G$45:$G$49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C77-49A0-B89F-1B71D9FA9C0A}"/>
            </c:ext>
          </c:extLst>
        </c:ser>
        <c:ser>
          <c:idx val="1"/>
          <c:order val="1"/>
          <c:tx>
            <c:strRef>
              <c:f>Pivots!$I$44</c:f>
              <c:strCache>
                <c:ptCount val="1"/>
                <c:pt idx="0">
                  <c:v>Sel. Amount</c:v>
                </c:pt>
              </c:strCache>
            </c:strRef>
          </c:tx>
          <c:spPr>
            <a:gradFill flip="none" rotWithShape="1">
              <a:gsLst>
                <a:gs pos="0">
                  <a:schemeClr val="accent5">
                    <a:lumMod val="60000"/>
                    <a:lumOff val="40000"/>
                  </a:schemeClr>
                </a:gs>
                <a:gs pos="24000">
                  <a:srgbClr val="FF984B"/>
                </a:gs>
                <a:gs pos="100000">
                  <a:schemeClr val="accent5"/>
                </a:gs>
              </a:gsLst>
              <a:lin ang="2700000" scaled="1"/>
              <a:tileRect/>
            </a:gradFill>
            <a:ln>
              <a:noFill/>
            </a:ln>
            <a:effectLst/>
          </c:spPr>
          <c:invertIfNegative val="0"/>
          <c:dLbls>
            <c:delete val="1"/>
          </c:dLbls>
          <c:val>
            <c:numRef>
              <c:f>Pivots!$I$45:$I$49</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CC77-49A0-B89F-1B71D9FA9C0A}"/>
            </c:ext>
          </c:extLst>
        </c:ser>
        <c:dLbls>
          <c:dLblPos val="outEnd"/>
          <c:showLegendKey val="0"/>
          <c:showVal val="1"/>
          <c:showCatName val="0"/>
          <c:showSerName val="0"/>
          <c:showPercent val="0"/>
          <c:showBubbleSize val="0"/>
        </c:dLbls>
        <c:gapWidth val="50"/>
        <c:overlap val="100"/>
        <c:axId val="1665095136"/>
        <c:axId val="1665096576"/>
      </c:barChart>
      <c:catAx>
        <c:axId val="1665095136"/>
        <c:scaling>
          <c:orientation val="maxMin"/>
        </c:scaling>
        <c:delete val="1"/>
        <c:axPos val="l"/>
        <c:numFmt formatCode="General" sourceLinked="1"/>
        <c:majorTickMark val="out"/>
        <c:minorTickMark val="none"/>
        <c:tickLblPos val="nextTo"/>
        <c:crossAx val="1665096576"/>
        <c:crosses val="autoZero"/>
        <c:auto val="1"/>
        <c:lblAlgn val="ctr"/>
        <c:lblOffset val="100"/>
        <c:noMultiLvlLbl val="0"/>
      </c:catAx>
      <c:valAx>
        <c:axId val="1665096576"/>
        <c:scaling>
          <c:orientation val="minMax"/>
        </c:scaling>
        <c:delete val="1"/>
        <c:axPos val="t"/>
        <c:numFmt formatCode="&quot;$&quot;#,###.0,&quot;K&quot;" sourceLinked="1"/>
        <c:majorTickMark val="out"/>
        <c:minorTickMark val="none"/>
        <c:tickLblPos val="nextTo"/>
        <c:crossAx val="166509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[07.sample-data-excel-portfolio-project.xlsx]Pivots!PivotTable20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solidFill>
                  <a:schemeClr val="accent5"/>
                </a:solidFill>
              </a:rPr>
              <a:t>Male</a:t>
            </a:r>
            <a:r>
              <a:rPr lang="en-AU" b="1" baseline="0"/>
              <a:t> vs </a:t>
            </a:r>
            <a:r>
              <a:rPr lang="en-AU" b="1" baseline="0">
                <a:solidFill>
                  <a:schemeClr val="accent4"/>
                </a:solidFill>
              </a:rPr>
              <a:t>Female</a:t>
            </a:r>
            <a:r>
              <a:rPr lang="en-AU" b="1" baseline="0"/>
              <a:t> Callers</a:t>
            </a:r>
            <a:endParaRPr lang="en-AU"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Pivots!$B$61:$B$62</c:f>
              <c:strCache>
                <c:ptCount val="1"/>
                <c:pt idx="0">
                  <c:v>Female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Pivots!$B$63:$B$66</c:f>
              <c:numCache>
                <c:formatCode>0</c:formatCode>
                <c:ptCount val="3"/>
                <c:pt idx="0">
                  <c:v>144</c:v>
                </c:pt>
                <c:pt idx="1">
                  <c:v>326</c:v>
                </c:pt>
                <c:pt idx="2">
                  <c:v>129</c:v>
                </c:pt>
              </c:numCache>
            </c:numRef>
          </c:val>
          <c:extLst>
            <c:ext xmlns:c16="http://schemas.microsoft.com/office/drawing/2014/chart" uri="{C3380CC4-5D6E-409C-BE32-E72D297353CC}">
              <c16:uniqueId val="{00000000-5921-4E9B-985C-C4EFE0BEF885}"/>
            </c:ext>
          </c:extLst>
        </c:ser>
        <c:ser>
          <c:idx val="1"/>
          <c:order val="1"/>
          <c:tx>
            <c:strRef>
              <c:f>Pivots!$C$61:$C$62</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Pivots!$C$63:$C$66</c:f>
              <c:numCache>
                <c:formatCode>0</c:formatCode>
                <c:ptCount val="3"/>
                <c:pt idx="0">
                  <c:v>132</c:v>
                </c:pt>
                <c:pt idx="1">
                  <c:v>63</c:v>
                </c:pt>
                <c:pt idx="2">
                  <c:v>206</c:v>
                </c:pt>
              </c:numCache>
            </c:numRef>
          </c:val>
          <c:extLst>
            <c:ext xmlns:c16="http://schemas.microsoft.com/office/drawing/2014/chart" uri="{C3380CC4-5D6E-409C-BE32-E72D297353CC}">
              <c16:uniqueId val="{00000001-5921-4E9B-985C-C4EFE0BEF885}"/>
            </c:ext>
          </c:extLst>
        </c:ser>
        <c:dLbls>
          <c:dLblPos val="ctr"/>
          <c:showLegendKey val="0"/>
          <c:showVal val="1"/>
          <c:showCatName val="0"/>
          <c:showSerName val="0"/>
          <c:showPercent val="0"/>
          <c:showBubbleSize val="0"/>
        </c:dLbls>
        <c:gapWidth val="40"/>
        <c:overlap val="100"/>
        <c:axId val="487515151"/>
        <c:axId val="487516591"/>
      </c:barChart>
      <c:catAx>
        <c:axId val="487515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16591"/>
        <c:crosses val="autoZero"/>
        <c:auto val="1"/>
        <c:lblAlgn val="ctr"/>
        <c:lblOffset val="100"/>
        <c:noMultiLvlLbl val="0"/>
      </c:catAx>
      <c:valAx>
        <c:axId val="487516591"/>
        <c:scaling>
          <c:orientation val="minMax"/>
        </c:scaling>
        <c:delete val="1"/>
        <c:axPos val="l"/>
        <c:numFmt formatCode="0%" sourceLinked="1"/>
        <c:majorTickMark val="out"/>
        <c:minorTickMark val="none"/>
        <c:tickLblPos val="nextTo"/>
        <c:crossAx val="48751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[07.sample-data-excel-portfolio-project.xlsx]Pivots!Reps Rating Pivot</c:name>
    <c:fmtId val="11"/>
  </c:pivotSource>
  <c:chart>
    <c:title>
      <c:tx>
        <c:rich>
          <a:bodyPr rot="0" spcFirstLastPara="1" vertOverflow="ellipsis" vert="horz" wrap="square" anchor="ctr" anchorCtr="1"/>
          <a:lstStyle/>
          <a:p>
            <a:pPr>
              <a:defRPr sz="1400" b="1" i="0" u="none" strike="noStrike" kern="1200" spc="0" baseline="0">
                <a:solidFill>
                  <a:schemeClr val="accent5"/>
                </a:solidFill>
                <a:latin typeface="+mj-lt"/>
                <a:ea typeface="+mn-ea"/>
                <a:cs typeface="+mn-cs"/>
              </a:defRPr>
            </a:pPr>
            <a:r>
              <a:rPr lang="en-US" b="1">
                <a:solidFill>
                  <a:schemeClr val="accent5"/>
                </a:solidFill>
                <a:latin typeface="+mj-lt"/>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j-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Pivots!$B$76</c:f>
              <c:strCache>
                <c:ptCount val="1"/>
                <c:pt idx="0">
                  <c:v>Total</c:v>
                </c:pt>
              </c:strCache>
            </c:strRef>
          </c:tx>
          <c:spPr>
            <a:solidFill>
              <a:schemeClr val="accent5"/>
            </a:solidFill>
            <a:ln>
              <a:noFill/>
            </a:ln>
            <a:effectLst/>
          </c:spPr>
          <c:invertIfNegative val="0"/>
          <c:cat>
            <c:strRef>
              <c:f>Pivots!$A$77:$A$82</c:f>
              <c:strCache>
                <c:ptCount val="5"/>
                <c:pt idx="0">
                  <c:v>1</c:v>
                </c:pt>
                <c:pt idx="1">
                  <c:v>2</c:v>
                </c:pt>
                <c:pt idx="2">
                  <c:v>3</c:v>
                </c:pt>
                <c:pt idx="3">
                  <c:v>4</c:v>
                </c:pt>
                <c:pt idx="4">
                  <c:v>5</c:v>
                </c:pt>
              </c:strCache>
            </c:strRef>
          </c:cat>
          <c:val>
            <c:numRef>
              <c:f>Pivots!$B$77:$B$82</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EA63-474B-8DE6-9E325E1D064F}"/>
            </c:ext>
          </c:extLst>
        </c:ser>
        <c:dLbls>
          <c:showLegendKey val="0"/>
          <c:showVal val="0"/>
          <c:showCatName val="0"/>
          <c:showSerName val="0"/>
          <c:showPercent val="0"/>
          <c:showBubbleSize val="0"/>
        </c:dLbls>
        <c:gapWidth val="50"/>
        <c:overlap val="-27"/>
        <c:axId val="1462091728"/>
        <c:axId val="1467711904"/>
      </c:barChart>
      <c:catAx>
        <c:axId val="1462091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11904"/>
        <c:crosses val="autoZero"/>
        <c:auto val="1"/>
        <c:lblAlgn val="ctr"/>
        <c:lblOffset val="100"/>
        <c:tickLblSkip val="1"/>
        <c:noMultiLvlLbl val="0"/>
      </c:catAx>
      <c:valAx>
        <c:axId val="146771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9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11.xml"/><Relationship Id="rId1" Type="http://schemas.openxmlformats.org/officeDocument/2006/relationships/chart" Target="../charts/chart6.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10.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6</xdr:col>
      <xdr:colOff>152400</xdr:colOff>
      <xdr:row>10</xdr:row>
      <xdr:rowOff>28575</xdr:rowOff>
    </xdr:from>
    <xdr:to>
      <xdr:col>12</xdr:col>
      <xdr:colOff>152400</xdr:colOff>
      <xdr:row>23</xdr:row>
      <xdr:rowOff>171450</xdr:rowOff>
    </xdr:to>
    <xdr:graphicFrame macro="">
      <xdr:nvGraphicFramePr>
        <xdr:cNvPr id="3" name="Chart 2">
          <a:extLst>
            <a:ext uri="{FF2B5EF4-FFF2-40B4-BE49-F238E27FC236}">
              <a16:creationId xmlns:a16="http://schemas.microsoft.com/office/drawing/2014/main" id="{631A9401-8204-9EF1-B56C-4A4F0CA52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24</xdr:row>
      <xdr:rowOff>152400</xdr:rowOff>
    </xdr:from>
    <xdr:to>
      <xdr:col>7</xdr:col>
      <xdr:colOff>728382</xdr:colOff>
      <xdr:row>38</xdr:row>
      <xdr:rowOff>95250</xdr:rowOff>
    </xdr:to>
    <xdr:graphicFrame macro="">
      <xdr:nvGraphicFramePr>
        <xdr:cNvPr id="4" name="Chart 3">
          <a:extLst>
            <a:ext uri="{FF2B5EF4-FFF2-40B4-BE49-F238E27FC236}">
              <a16:creationId xmlns:a16="http://schemas.microsoft.com/office/drawing/2014/main" id="{ACD3A8F0-B3FB-AE78-0A89-55E6677F9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42</xdr:row>
      <xdr:rowOff>0</xdr:rowOff>
    </xdr:from>
    <xdr:to>
      <xdr:col>19</xdr:col>
      <xdr:colOff>179294</xdr:colOff>
      <xdr:row>55</xdr:row>
      <xdr:rowOff>1</xdr:rowOff>
    </xdr:to>
    <xdr:grpSp>
      <xdr:nvGrpSpPr>
        <xdr:cNvPr id="9" name="Group 8">
          <a:extLst>
            <a:ext uri="{FF2B5EF4-FFF2-40B4-BE49-F238E27FC236}">
              <a16:creationId xmlns:a16="http://schemas.microsoft.com/office/drawing/2014/main" id="{7DB9F5B0-0D85-999F-8654-59E2C848B7F4}"/>
            </a:ext>
          </a:extLst>
        </xdr:cNvPr>
        <xdr:cNvGrpSpPr/>
      </xdr:nvGrpSpPr>
      <xdr:grpSpPr>
        <a:xfrm>
          <a:off x="9466729" y="8283388"/>
          <a:ext cx="5515199" cy="2563907"/>
          <a:chOff x="8325971" y="8471647"/>
          <a:chExt cx="5513294" cy="2622178"/>
        </a:xfrm>
      </xdr:grpSpPr>
      <xdr:graphicFrame macro="">
        <xdr:nvGraphicFramePr>
          <xdr:cNvPr id="7" name="Chart 6">
            <a:extLst>
              <a:ext uri="{FF2B5EF4-FFF2-40B4-BE49-F238E27FC236}">
                <a16:creationId xmlns:a16="http://schemas.microsoft.com/office/drawing/2014/main" id="{E86B19B8-1864-5E9F-BD87-AE1901135F6A}"/>
              </a:ext>
            </a:extLst>
          </xdr:cNvPr>
          <xdr:cNvGraphicFramePr/>
        </xdr:nvGraphicFramePr>
        <xdr:xfrm>
          <a:off x="8325971" y="8471647"/>
          <a:ext cx="3048000" cy="26221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017AABE4-643A-5A85-C6B2-A675D3BF10B5}"/>
              </a:ext>
            </a:extLst>
          </xdr:cNvPr>
          <xdr:cNvGraphicFramePr/>
        </xdr:nvGraphicFramePr>
        <xdr:xfrm>
          <a:off x="11373972" y="8471647"/>
          <a:ext cx="2465293" cy="262217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437029</xdr:colOff>
      <xdr:row>55</xdr:row>
      <xdr:rowOff>73958</xdr:rowOff>
    </xdr:from>
    <xdr:to>
      <xdr:col>11</xdr:col>
      <xdr:colOff>235324</xdr:colOff>
      <xdr:row>69</xdr:row>
      <xdr:rowOff>4482</xdr:rowOff>
    </xdr:to>
    <xdr:graphicFrame macro="">
      <xdr:nvGraphicFramePr>
        <xdr:cNvPr id="10" name="Chart 9">
          <a:extLst>
            <a:ext uri="{FF2B5EF4-FFF2-40B4-BE49-F238E27FC236}">
              <a16:creationId xmlns:a16="http://schemas.microsoft.com/office/drawing/2014/main" id="{1DBFC758-E64B-B7DB-6299-CEEF10327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78105</xdr:colOff>
      <xdr:row>5</xdr:row>
      <xdr:rowOff>11205</xdr:rowOff>
    </xdr:from>
    <xdr:to>
      <xdr:col>12</xdr:col>
      <xdr:colOff>0</xdr:colOff>
      <xdr:row>18</xdr:row>
      <xdr:rowOff>201705</xdr:rowOff>
    </xdr:to>
    <xdr:graphicFrame macro="">
      <xdr:nvGraphicFramePr>
        <xdr:cNvPr id="25" name="Chart 24">
          <a:extLst>
            <a:ext uri="{FF2B5EF4-FFF2-40B4-BE49-F238E27FC236}">
              <a16:creationId xmlns:a16="http://schemas.microsoft.com/office/drawing/2014/main" id="{BF915350-498A-442A-8803-E53C83E80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xdr:row>
      <xdr:rowOff>0</xdr:rowOff>
    </xdr:from>
    <xdr:to>
      <xdr:col>3</xdr:col>
      <xdr:colOff>527685</xdr:colOff>
      <xdr:row>9</xdr:row>
      <xdr:rowOff>142875</xdr:rowOff>
    </xdr:to>
    <xdr:sp macro="" textlink="Pivots!A4">
      <xdr:nvSpPr>
        <xdr:cNvPr id="2" name="Rectangle 1">
          <a:extLst>
            <a:ext uri="{FF2B5EF4-FFF2-40B4-BE49-F238E27FC236}">
              <a16:creationId xmlns:a16="http://schemas.microsoft.com/office/drawing/2014/main" id="{42A76D1E-A826-DC6D-253D-45BA1DACA0E9}"/>
            </a:ext>
          </a:extLst>
        </xdr:cNvPr>
        <xdr:cNvSpPr/>
      </xdr:nvSpPr>
      <xdr:spPr>
        <a:xfrm>
          <a:off x="544286" y="783771"/>
          <a:ext cx="1289685" cy="926647"/>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DED39B-7C86-43E2-92F6-40D4234CF1D9}" type="TxLink">
            <a:rPr lang="en-US" sz="2400" b="1" i="0" u="none" strike="noStrike">
              <a:solidFill>
                <a:schemeClr val="bg1"/>
              </a:solidFill>
              <a:latin typeface="+mj-lt"/>
            </a:rPr>
            <a:pPr algn="ctr"/>
            <a:t>1000</a:t>
          </a:fld>
          <a:endParaRPr lang="en-AU" sz="2400" b="1">
            <a:solidFill>
              <a:schemeClr val="bg1"/>
            </a:solidFill>
            <a:latin typeface="+mj-lt"/>
          </a:endParaRPr>
        </a:p>
      </xdr:txBody>
    </xdr:sp>
    <xdr:clientData/>
  </xdr:twoCellAnchor>
  <xdr:oneCellAnchor>
    <xdr:from>
      <xdr:col>2</xdr:col>
      <xdr:colOff>339362</xdr:colOff>
      <xdr:row>5</xdr:row>
      <xdr:rowOff>29392</xdr:rowOff>
    </xdr:from>
    <xdr:ext cx="627561" cy="283028"/>
    <xdr:sp macro="" textlink="">
      <xdr:nvSpPr>
        <xdr:cNvPr id="3" name="TextBox 2">
          <a:extLst>
            <a:ext uri="{FF2B5EF4-FFF2-40B4-BE49-F238E27FC236}">
              <a16:creationId xmlns:a16="http://schemas.microsoft.com/office/drawing/2014/main" id="{D4296C45-5AF9-20BA-7C14-304E38F647B0}"/>
            </a:ext>
          </a:extLst>
        </xdr:cNvPr>
        <xdr:cNvSpPr txBox="1"/>
      </xdr:nvSpPr>
      <xdr:spPr>
        <a:xfrm>
          <a:off x="883648" y="1009106"/>
          <a:ext cx="627561" cy="283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1100" b="1">
              <a:solidFill>
                <a:schemeClr val="bg1"/>
              </a:solidFill>
              <a:latin typeface="+mj-lt"/>
            </a:rPr>
            <a:t>Calls</a:t>
          </a:r>
        </a:p>
      </xdr:txBody>
    </xdr:sp>
    <xdr:clientData/>
  </xdr:oneCellAnchor>
  <xdr:twoCellAnchor editAs="oneCell">
    <xdr:from>
      <xdr:col>2</xdr:col>
      <xdr:colOff>75055</xdr:colOff>
      <xdr:row>5</xdr:row>
      <xdr:rowOff>85990</xdr:rowOff>
    </xdr:from>
    <xdr:to>
      <xdr:col>2</xdr:col>
      <xdr:colOff>300203</xdr:colOff>
      <xdr:row>6</xdr:row>
      <xdr:rowOff>110635</xdr:rowOff>
    </xdr:to>
    <xdr:pic>
      <xdr:nvPicPr>
        <xdr:cNvPr id="4" name="Graphic 3" descr="Receiver with solid fill">
          <a:extLst>
            <a:ext uri="{FF2B5EF4-FFF2-40B4-BE49-F238E27FC236}">
              <a16:creationId xmlns:a16="http://schemas.microsoft.com/office/drawing/2014/main" id="{22DB3FD1-F17A-41DA-8CFD-99DB6D97BD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313535">
          <a:off x="619341" y="1065704"/>
          <a:ext cx="221338" cy="201538"/>
        </a:xfrm>
        <a:prstGeom prst="rect">
          <a:avLst/>
        </a:prstGeom>
      </xdr:spPr>
    </xdr:pic>
    <xdr:clientData/>
  </xdr:twoCellAnchor>
  <xdr:twoCellAnchor>
    <xdr:from>
      <xdr:col>2</xdr:col>
      <xdr:colOff>266700</xdr:colOff>
      <xdr:row>8</xdr:row>
      <xdr:rowOff>102870</xdr:rowOff>
    </xdr:from>
    <xdr:to>
      <xdr:col>3</xdr:col>
      <xdr:colOff>228600</xdr:colOff>
      <xdr:row>9</xdr:row>
      <xdr:rowOff>80010</xdr:rowOff>
    </xdr:to>
    <xdr:sp macro="" textlink="Pivots!A10">
      <xdr:nvSpPr>
        <xdr:cNvPr id="5" name="TextBox 4">
          <a:extLst>
            <a:ext uri="{FF2B5EF4-FFF2-40B4-BE49-F238E27FC236}">
              <a16:creationId xmlns:a16="http://schemas.microsoft.com/office/drawing/2014/main" id="{FC9DE1FC-DE9E-4156-7A7C-37C2B0C6E0BF}"/>
            </a:ext>
          </a:extLst>
        </xdr:cNvPr>
        <xdr:cNvSpPr txBox="1"/>
      </xdr:nvSpPr>
      <xdr:spPr>
        <a:xfrm>
          <a:off x="810986" y="1474470"/>
          <a:ext cx="723900" cy="17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85215-04F9-4186-AFB4-9A1B64C79BE8}" type="TxLink">
            <a:rPr lang="en-US" sz="1100" b="1" i="0" u="none" strike="noStrike">
              <a:solidFill>
                <a:schemeClr val="bg1"/>
              </a:solidFill>
              <a:latin typeface="Franklin Gothic Book"/>
            </a:rPr>
            <a:pPr algn="ctr"/>
            <a:t>218</a:t>
          </a:fld>
          <a:endParaRPr lang="en-AU" sz="1100" b="1" u="none">
            <a:solidFill>
              <a:schemeClr val="bg1"/>
            </a:solidFill>
          </a:endParaRPr>
        </a:p>
      </xdr:txBody>
    </xdr:sp>
    <xdr:clientData/>
  </xdr:twoCellAnchor>
  <xdr:twoCellAnchor>
    <xdr:from>
      <xdr:col>2</xdr:col>
      <xdr:colOff>0</xdr:colOff>
      <xdr:row>10</xdr:row>
      <xdr:rowOff>109482</xdr:rowOff>
    </xdr:from>
    <xdr:to>
      <xdr:col>3</xdr:col>
      <xdr:colOff>529590</xdr:colOff>
      <xdr:row>15</xdr:row>
      <xdr:rowOff>48521</xdr:rowOff>
    </xdr:to>
    <xdr:sp macro="" textlink="Pivots!B4">
      <xdr:nvSpPr>
        <xdr:cNvPr id="6" name="Rectangle 5">
          <a:extLst>
            <a:ext uri="{FF2B5EF4-FFF2-40B4-BE49-F238E27FC236}">
              <a16:creationId xmlns:a16="http://schemas.microsoft.com/office/drawing/2014/main" id="{D54E7752-2029-4F01-B96D-B32363167DF1}"/>
            </a:ext>
          </a:extLst>
        </xdr:cNvPr>
        <xdr:cNvSpPr/>
      </xdr:nvSpPr>
      <xdr:spPr>
        <a:xfrm>
          <a:off x="544286" y="1872968"/>
          <a:ext cx="1291590" cy="918753"/>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B8AE8B-5E61-41A3-B799-904D72321421}" type="TxLink">
            <a:rPr lang="en-US" sz="2000" b="1" i="0" u="none" strike="noStrike">
              <a:solidFill>
                <a:schemeClr val="bg1"/>
              </a:solidFill>
              <a:latin typeface="Franklin Gothic Medium" panose="020B0603020102020204" pitchFamily="34" charset="0"/>
            </a:rPr>
            <a:t>$96,623</a:t>
          </a:fld>
          <a:endParaRPr lang="en-AU" sz="2000" b="1">
            <a:solidFill>
              <a:schemeClr val="bg1"/>
            </a:solidFill>
            <a:latin typeface="Franklin Gothic Medium" panose="020B0603020102020204" pitchFamily="34" charset="0"/>
          </a:endParaRPr>
        </a:p>
      </xdr:txBody>
    </xdr:sp>
    <xdr:clientData/>
  </xdr:twoCellAnchor>
  <xdr:oneCellAnchor>
    <xdr:from>
      <xdr:col>2</xdr:col>
      <xdr:colOff>232410</xdr:colOff>
      <xdr:row>11</xdr:row>
      <xdr:rowOff>20450</xdr:rowOff>
    </xdr:from>
    <xdr:ext cx="811530" cy="156603"/>
    <xdr:sp macro="" textlink="">
      <xdr:nvSpPr>
        <xdr:cNvPr id="7" name="TextBox 6">
          <a:extLst>
            <a:ext uri="{FF2B5EF4-FFF2-40B4-BE49-F238E27FC236}">
              <a16:creationId xmlns:a16="http://schemas.microsoft.com/office/drawing/2014/main" id="{F0D97870-626A-4548-B011-61F9F4B79C6F}"/>
            </a:ext>
          </a:extLst>
        </xdr:cNvPr>
        <xdr:cNvSpPr txBox="1"/>
      </xdr:nvSpPr>
      <xdr:spPr>
        <a:xfrm>
          <a:off x="776696" y="1979879"/>
          <a:ext cx="811530" cy="156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1100" b="1">
              <a:solidFill>
                <a:schemeClr val="bg1"/>
              </a:solidFill>
              <a:latin typeface="+mj-lt"/>
            </a:rPr>
            <a:t>Amount</a:t>
          </a:r>
        </a:p>
      </xdr:txBody>
    </xdr:sp>
    <xdr:clientData/>
  </xdr:oneCellAnchor>
  <xdr:twoCellAnchor editAs="oneCell">
    <xdr:from>
      <xdr:col>2</xdr:col>
      <xdr:colOff>51546</xdr:colOff>
      <xdr:row>10</xdr:row>
      <xdr:rowOff>189249</xdr:rowOff>
    </xdr:from>
    <xdr:to>
      <xdr:col>2</xdr:col>
      <xdr:colOff>269769</xdr:colOff>
      <xdr:row>12</xdr:row>
      <xdr:rowOff>35097</xdr:rowOff>
    </xdr:to>
    <xdr:pic>
      <xdr:nvPicPr>
        <xdr:cNvPr id="8" name="Graphic 7">
          <a:extLst>
            <a:ext uri="{FF2B5EF4-FFF2-40B4-BE49-F238E27FC236}">
              <a16:creationId xmlns:a16="http://schemas.microsoft.com/office/drawing/2014/main" id="{D4748895-0168-4CF4-B225-1FD594DCA0B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95832" y="2148678"/>
          <a:ext cx="227748" cy="226303"/>
        </a:xfrm>
        <a:prstGeom prst="rect">
          <a:avLst/>
        </a:prstGeom>
      </xdr:spPr>
    </xdr:pic>
    <xdr:clientData/>
  </xdr:twoCellAnchor>
  <xdr:twoCellAnchor>
    <xdr:from>
      <xdr:col>2</xdr:col>
      <xdr:colOff>266700</xdr:colOff>
      <xdr:row>14</xdr:row>
      <xdr:rowOff>7508</xdr:rowOff>
    </xdr:from>
    <xdr:to>
      <xdr:col>3</xdr:col>
      <xdr:colOff>228600</xdr:colOff>
      <xdr:row>14</xdr:row>
      <xdr:rowOff>187587</xdr:rowOff>
    </xdr:to>
    <xdr:sp macro="" textlink="Pivots!B10">
      <xdr:nvSpPr>
        <xdr:cNvPr id="9" name="TextBox 8">
          <a:extLst>
            <a:ext uri="{FF2B5EF4-FFF2-40B4-BE49-F238E27FC236}">
              <a16:creationId xmlns:a16="http://schemas.microsoft.com/office/drawing/2014/main" id="{125F44D7-C0B9-4BDA-9724-2DBF28CB040A}"/>
            </a:ext>
          </a:extLst>
        </xdr:cNvPr>
        <xdr:cNvSpPr txBox="1"/>
      </xdr:nvSpPr>
      <xdr:spPr>
        <a:xfrm>
          <a:off x="810986" y="2554765"/>
          <a:ext cx="723900" cy="180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8FD834-F1EA-4938-82F1-32EDA5907F0B}" type="TxLink">
            <a:rPr lang="en-US" sz="1100" b="1" i="0" u="none" strike="noStrike">
              <a:solidFill>
                <a:schemeClr val="bg1"/>
              </a:solidFill>
              <a:latin typeface="Franklin Gothic Book"/>
            </a:rPr>
            <a:t>$20,581</a:t>
          </a:fld>
          <a:endParaRPr lang="en-AU" sz="1100" b="1" u="none">
            <a:solidFill>
              <a:schemeClr val="bg1"/>
            </a:solidFill>
          </a:endParaRPr>
        </a:p>
      </xdr:txBody>
    </xdr:sp>
    <xdr:clientData/>
  </xdr:twoCellAnchor>
  <xdr:twoCellAnchor>
    <xdr:from>
      <xdr:col>2</xdr:col>
      <xdr:colOff>0</xdr:colOff>
      <xdr:row>16</xdr:row>
      <xdr:rowOff>0</xdr:rowOff>
    </xdr:from>
    <xdr:to>
      <xdr:col>3</xdr:col>
      <xdr:colOff>529590</xdr:colOff>
      <xdr:row>20</xdr:row>
      <xdr:rowOff>138168</xdr:rowOff>
    </xdr:to>
    <xdr:sp macro="" textlink="Pivots!C4">
      <xdr:nvSpPr>
        <xdr:cNvPr id="10" name="Rectangle 9">
          <a:extLst>
            <a:ext uri="{FF2B5EF4-FFF2-40B4-BE49-F238E27FC236}">
              <a16:creationId xmlns:a16="http://schemas.microsoft.com/office/drawing/2014/main" id="{70C4B3E2-5836-49CA-931F-649CC1C15F40}"/>
            </a:ext>
          </a:extLst>
        </xdr:cNvPr>
        <xdr:cNvSpPr/>
      </xdr:nvSpPr>
      <xdr:spPr>
        <a:xfrm>
          <a:off x="544286" y="3135086"/>
          <a:ext cx="1291590" cy="921939"/>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5A215B-FADF-424B-9C29-CDAD18AB63ED}" type="TxLink">
            <a:rPr lang="en-US" sz="2000" b="1" i="0" u="none" strike="noStrike">
              <a:solidFill>
                <a:schemeClr val="bg1"/>
              </a:solidFill>
              <a:latin typeface="Franklin Gothic Book"/>
            </a:rPr>
            <a:t>89850</a:t>
          </a:fld>
          <a:endParaRPr lang="en-AU" sz="2000" b="1">
            <a:solidFill>
              <a:schemeClr val="bg1"/>
            </a:solidFill>
            <a:latin typeface="+mj-lt"/>
          </a:endParaRPr>
        </a:p>
      </xdr:txBody>
    </xdr:sp>
    <xdr:clientData/>
  </xdr:twoCellAnchor>
  <xdr:oneCellAnchor>
    <xdr:from>
      <xdr:col>2</xdr:col>
      <xdr:colOff>232410</xdr:colOff>
      <xdr:row>16</xdr:row>
      <xdr:rowOff>110097</xdr:rowOff>
    </xdr:from>
    <xdr:ext cx="811530" cy="156603"/>
    <xdr:sp macro="" textlink="">
      <xdr:nvSpPr>
        <xdr:cNvPr id="11" name="TextBox 10">
          <a:extLst>
            <a:ext uri="{FF2B5EF4-FFF2-40B4-BE49-F238E27FC236}">
              <a16:creationId xmlns:a16="http://schemas.microsoft.com/office/drawing/2014/main" id="{2A2BBB19-E995-4680-A731-74033D9220A9}"/>
            </a:ext>
          </a:extLst>
        </xdr:cNvPr>
        <xdr:cNvSpPr txBox="1"/>
      </xdr:nvSpPr>
      <xdr:spPr>
        <a:xfrm>
          <a:off x="776696" y="3049240"/>
          <a:ext cx="811530" cy="156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1100" b="1">
              <a:solidFill>
                <a:schemeClr val="bg1"/>
              </a:solidFill>
              <a:latin typeface="+mj-lt"/>
            </a:rPr>
            <a:t>Duration</a:t>
          </a:r>
        </a:p>
      </xdr:txBody>
    </xdr:sp>
    <xdr:clientData/>
  </xdr:oneCellAnchor>
  <xdr:twoCellAnchor editAs="oneCell">
    <xdr:from>
      <xdr:col>2</xdr:col>
      <xdr:colOff>39084</xdr:colOff>
      <xdr:row>16</xdr:row>
      <xdr:rowOff>79918</xdr:rowOff>
    </xdr:from>
    <xdr:to>
      <xdr:col>2</xdr:col>
      <xdr:colOff>266137</xdr:colOff>
      <xdr:row>17</xdr:row>
      <xdr:rowOff>79612</xdr:rowOff>
    </xdr:to>
    <xdr:pic>
      <xdr:nvPicPr>
        <xdr:cNvPr id="12" name="Graphic 11">
          <a:extLst>
            <a:ext uri="{FF2B5EF4-FFF2-40B4-BE49-F238E27FC236}">
              <a16:creationId xmlns:a16="http://schemas.microsoft.com/office/drawing/2014/main" id="{EA84924D-9C2C-4115-AE11-99402C3A53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89049" y="3260440"/>
          <a:ext cx="227053" cy="206096"/>
        </a:xfrm>
        <a:prstGeom prst="rect">
          <a:avLst/>
        </a:prstGeom>
      </xdr:spPr>
    </xdr:pic>
    <xdr:clientData/>
  </xdr:twoCellAnchor>
  <xdr:twoCellAnchor>
    <xdr:from>
      <xdr:col>2</xdr:col>
      <xdr:colOff>266700</xdr:colOff>
      <xdr:row>19</xdr:row>
      <xdr:rowOff>95250</xdr:rowOff>
    </xdr:from>
    <xdr:to>
      <xdr:col>3</xdr:col>
      <xdr:colOff>228600</xdr:colOff>
      <xdr:row>20</xdr:row>
      <xdr:rowOff>78104</xdr:rowOff>
    </xdr:to>
    <xdr:sp macro="" textlink="Pivots!C10">
      <xdr:nvSpPr>
        <xdr:cNvPr id="13" name="TextBox 12">
          <a:extLst>
            <a:ext uri="{FF2B5EF4-FFF2-40B4-BE49-F238E27FC236}">
              <a16:creationId xmlns:a16="http://schemas.microsoft.com/office/drawing/2014/main" id="{2ABDB817-D0B4-420B-AC79-643B6F5DDDD9}"/>
            </a:ext>
          </a:extLst>
        </xdr:cNvPr>
        <xdr:cNvSpPr txBox="1"/>
      </xdr:nvSpPr>
      <xdr:spPr>
        <a:xfrm>
          <a:off x="810986" y="3622221"/>
          <a:ext cx="723900" cy="178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0424D6-A09B-42C4-BDBD-D5AB41FD72E7}" type="TxLink">
            <a:rPr lang="en-US" sz="1100" b="1" i="0" u="none" strike="noStrike">
              <a:solidFill>
                <a:schemeClr val="bg1"/>
              </a:solidFill>
              <a:latin typeface="Franklin Gothic Medium" panose="020B0603020102020204" pitchFamily="34" charset="0"/>
            </a:rPr>
            <a:t>19300</a:t>
          </a:fld>
          <a:endParaRPr lang="en-AU" sz="1100" b="1" u="none">
            <a:solidFill>
              <a:schemeClr val="bg1"/>
            </a:solidFill>
            <a:latin typeface="Franklin Gothic Medium" panose="020B0603020102020204" pitchFamily="34" charset="0"/>
          </a:endParaRPr>
        </a:p>
      </xdr:txBody>
    </xdr:sp>
    <xdr:clientData/>
  </xdr:twoCellAnchor>
  <xdr:twoCellAnchor>
    <xdr:from>
      <xdr:col>2</xdr:col>
      <xdr:colOff>0</xdr:colOff>
      <xdr:row>21</xdr:row>
      <xdr:rowOff>133238</xdr:rowOff>
    </xdr:from>
    <xdr:to>
      <xdr:col>3</xdr:col>
      <xdr:colOff>529590</xdr:colOff>
      <xdr:row>26</xdr:row>
      <xdr:rowOff>64658</xdr:rowOff>
    </xdr:to>
    <xdr:sp macro="" textlink="Pivots!D4">
      <xdr:nvSpPr>
        <xdr:cNvPr id="14" name="Rectangle 13">
          <a:extLst>
            <a:ext uri="{FF2B5EF4-FFF2-40B4-BE49-F238E27FC236}">
              <a16:creationId xmlns:a16="http://schemas.microsoft.com/office/drawing/2014/main" id="{659F5A4B-E442-4AFE-BBB0-B6257B030547}"/>
            </a:ext>
          </a:extLst>
        </xdr:cNvPr>
        <xdr:cNvSpPr/>
      </xdr:nvSpPr>
      <xdr:spPr>
        <a:xfrm>
          <a:off x="544286" y="4052095"/>
          <a:ext cx="1291590" cy="911134"/>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EEF0FC-7B32-472D-BEAC-4D99A3D4ACE8}" type="TxLink">
            <a:rPr lang="en-US" sz="2400" b="1" i="0" u="none" strike="noStrike">
              <a:solidFill>
                <a:schemeClr val="bg1">
                  <a:lumMod val="95000"/>
                </a:schemeClr>
              </a:solidFill>
              <a:latin typeface="Franklin Gothic Medium" panose="020B0603020102020204" pitchFamily="34" charset="0"/>
            </a:rPr>
            <a:t>3.9</a:t>
          </a:fld>
          <a:endParaRPr lang="en-AU" sz="2400" b="1">
            <a:solidFill>
              <a:schemeClr val="bg1">
                <a:lumMod val="95000"/>
              </a:schemeClr>
            </a:solidFill>
            <a:latin typeface="Franklin Gothic Medium" panose="020B0603020102020204" pitchFamily="34" charset="0"/>
          </a:endParaRPr>
        </a:p>
      </xdr:txBody>
    </xdr:sp>
    <xdr:clientData/>
  </xdr:twoCellAnchor>
  <xdr:oneCellAnchor>
    <xdr:from>
      <xdr:col>2</xdr:col>
      <xdr:colOff>232410</xdr:colOff>
      <xdr:row>22</xdr:row>
      <xdr:rowOff>44206</xdr:rowOff>
    </xdr:from>
    <xdr:ext cx="811530" cy="156603"/>
    <xdr:sp macro="" textlink="">
      <xdr:nvSpPr>
        <xdr:cNvPr id="15" name="TextBox 14">
          <a:extLst>
            <a:ext uri="{FF2B5EF4-FFF2-40B4-BE49-F238E27FC236}">
              <a16:creationId xmlns:a16="http://schemas.microsoft.com/office/drawing/2014/main" id="{3EB167D1-AECD-4B32-8860-97973FD4627F}"/>
            </a:ext>
          </a:extLst>
        </xdr:cNvPr>
        <xdr:cNvSpPr txBox="1"/>
      </xdr:nvSpPr>
      <xdr:spPr>
        <a:xfrm>
          <a:off x="776696" y="4159006"/>
          <a:ext cx="811530" cy="156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1100" b="1">
              <a:solidFill>
                <a:schemeClr val="bg1"/>
              </a:solidFill>
              <a:latin typeface="+mj-lt"/>
            </a:rPr>
            <a:t>Rating</a:t>
          </a:r>
        </a:p>
      </xdr:txBody>
    </xdr:sp>
    <xdr:clientData/>
  </xdr:oneCellAnchor>
  <xdr:twoCellAnchor editAs="oneCell">
    <xdr:from>
      <xdr:col>2</xdr:col>
      <xdr:colOff>83220</xdr:colOff>
      <xdr:row>21</xdr:row>
      <xdr:rowOff>153787</xdr:rowOff>
    </xdr:from>
    <xdr:to>
      <xdr:col>2</xdr:col>
      <xdr:colOff>385473</xdr:colOff>
      <xdr:row>23</xdr:row>
      <xdr:rowOff>37319</xdr:rowOff>
    </xdr:to>
    <xdr:pic>
      <xdr:nvPicPr>
        <xdr:cNvPr id="16" name="Graphic 15">
          <a:extLst>
            <a:ext uri="{FF2B5EF4-FFF2-40B4-BE49-F238E27FC236}">
              <a16:creationId xmlns:a16="http://schemas.microsoft.com/office/drawing/2014/main" id="{7E94FB80-9CDF-40DF-B393-916467E4136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627506" y="4072644"/>
          <a:ext cx="302253" cy="309564"/>
        </a:xfrm>
        <a:prstGeom prst="rect">
          <a:avLst/>
        </a:prstGeom>
      </xdr:spPr>
    </xdr:pic>
    <xdr:clientData/>
  </xdr:twoCellAnchor>
  <xdr:twoCellAnchor>
    <xdr:from>
      <xdr:col>2</xdr:col>
      <xdr:colOff>266700</xdr:colOff>
      <xdr:row>25</xdr:row>
      <xdr:rowOff>25550</xdr:rowOff>
    </xdr:from>
    <xdr:to>
      <xdr:col>3</xdr:col>
      <xdr:colOff>228600</xdr:colOff>
      <xdr:row>26</xdr:row>
      <xdr:rowOff>6499</xdr:rowOff>
    </xdr:to>
    <xdr:sp macro="" textlink="Pivots!D10">
      <xdr:nvSpPr>
        <xdr:cNvPr id="17" name="TextBox 16">
          <a:extLst>
            <a:ext uri="{FF2B5EF4-FFF2-40B4-BE49-F238E27FC236}">
              <a16:creationId xmlns:a16="http://schemas.microsoft.com/office/drawing/2014/main" id="{8D615AC5-EBAF-467D-8C22-53696225F43A}"/>
            </a:ext>
          </a:extLst>
        </xdr:cNvPr>
        <xdr:cNvSpPr txBox="1"/>
      </xdr:nvSpPr>
      <xdr:spPr>
        <a:xfrm>
          <a:off x="810986" y="4728179"/>
          <a:ext cx="723900" cy="176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F9307-286E-4869-9E93-5B9C29FE8DCD}" type="TxLink">
            <a:rPr lang="en-US" sz="1100" b="1" i="0" u="none" strike="noStrike">
              <a:solidFill>
                <a:schemeClr val="bg1"/>
              </a:solidFill>
              <a:latin typeface="Franklin Gothic Medium" panose="020B0603020102020204" pitchFamily="34" charset="0"/>
            </a:rPr>
            <a:t>3.9</a:t>
          </a:fld>
          <a:endParaRPr lang="en-AU" sz="1100" b="1" u="none">
            <a:solidFill>
              <a:schemeClr val="bg1"/>
            </a:solidFill>
            <a:latin typeface="Franklin Gothic Medium" panose="020B0603020102020204" pitchFamily="34" charset="0"/>
          </a:endParaRPr>
        </a:p>
      </xdr:txBody>
    </xdr:sp>
    <xdr:clientData/>
  </xdr:twoCellAnchor>
  <xdr:twoCellAnchor>
    <xdr:from>
      <xdr:col>2</xdr:col>
      <xdr:colOff>0</xdr:colOff>
      <xdr:row>27</xdr:row>
      <xdr:rowOff>49530</xdr:rowOff>
    </xdr:from>
    <xdr:to>
      <xdr:col>3</xdr:col>
      <xdr:colOff>533400</xdr:colOff>
      <xdr:row>32</xdr:row>
      <xdr:rowOff>0</xdr:rowOff>
    </xdr:to>
    <xdr:sp macro="" textlink="Pivots!E4">
      <xdr:nvSpPr>
        <xdr:cNvPr id="18" name="Rectangle 17">
          <a:extLst>
            <a:ext uri="{FF2B5EF4-FFF2-40B4-BE49-F238E27FC236}">
              <a16:creationId xmlns:a16="http://schemas.microsoft.com/office/drawing/2014/main" id="{FC03D802-F996-4D17-8447-90448C8EC54E}"/>
            </a:ext>
          </a:extLst>
        </xdr:cNvPr>
        <xdr:cNvSpPr/>
      </xdr:nvSpPr>
      <xdr:spPr>
        <a:xfrm>
          <a:off x="544286" y="5144044"/>
          <a:ext cx="1295400" cy="930185"/>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1BE6A5-D403-40CE-B33A-79D3A17DECD2}" type="TxLink">
            <a:rPr lang="en-US" sz="2400" b="1" i="0" u="none" strike="noStrike">
              <a:solidFill>
                <a:schemeClr val="bg1"/>
              </a:solidFill>
              <a:latin typeface="Franklin Gothic Medium" panose="020B0603020102020204" pitchFamily="34" charset="0"/>
            </a:rPr>
            <a:t>307</a:t>
          </a:fld>
          <a:endParaRPr lang="en-AU" sz="2400" b="1">
            <a:solidFill>
              <a:schemeClr val="bg1"/>
            </a:solidFill>
            <a:latin typeface="Franklin Gothic Medium" panose="020B0603020102020204" pitchFamily="34" charset="0"/>
          </a:endParaRPr>
        </a:p>
      </xdr:txBody>
    </xdr:sp>
    <xdr:clientData/>
  </xdr:twoCellAnchor>
  <xdr:oneCellAnchor>
    <xdr:from>
      <xdr:col>2</xdr:col>
      <xdr:colOff>226695</xdr:colOff>
      <xdr:row>27</xdr:row>
      <xdr:rowOff>158731</xdr:rowOff>
    </xdr:from>
    <xdr:ext cx="811530" cy="156603"/>
    <xdr:sp macro="" textlink="">
      <xdr:nvSpPr>
        <xdr:cNvPr id="19" name="TextBox 18">
          <a:extLst>
            <a:ext uri="{FF2B5EF4-FFF2-40B4-BE49-F238E27FC236}">
              <a16:creationId xmlns:a16="http://schemas.microsoft.com/office/drawing/2014/main" id="{453D07AC-44D4-4711-9D64-EA337B65050D}"/>
            </a:ext>
          </a:extLst>
        </xdr:cNvPr>
        <xdr:cNvSpPr txBox="1"/>
      </xdr:nvSpPr>
      <xdr:spPr>
        <a:xfrm>
          <a:off x="770981" y="5253245"/>
          <a:ext cx="811530" cy="156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U" sz="1100" b="1">
              <a:solidFill>
                <a:schemeClr val="bg1"/>
              </a:solidFill>
              <a:latin typeface="+mj-lt"/>
            </a:rPr>
            <a:t>5* Calls</a:t>
          </a:r>
        </a:p>
      </xdr:txBody>
    </xdr:sp>
    <xdr:clientData/>
  </xdr:oneCellAnchor>
  <xdr:twoCellAnchor>
    <xdr:from>
      <xdr:col>2</xdr:col>
      <xdr:colOff>262890</xdr:colOff>
      <xdr:row>30</xdr:row>
      <xdr:rowOff>151503</xdr:rowOff>
    </xdr:from>
    <xdr:to>
      <xdr:col>3</xdr:col>
      <xdr:colOff>224790</xdr:colOff>
      <xdr:row>31</xdr:row>
      <xdr:rowOff>124834</xdr:rowOff>
    </xdr:to>
    <xdr:sp macro="" textlink="Pivots!E10">
      <xdr:nvSpPr>
        <xdr:cNvPr id="21" name="TextBox 20">
          <a:extLst>
            <a:ext uri="{FF2B5EF4-FFF2-40B4-BE49-F238E27FC236}">
              <a16:creationId xmlns:a16="http://schemas.microsoft.com/office/drawing/2014/main" id="{B92A37C7-71F0-4901-B3B2-863E4E6D439F}"/>
            </a:ext>
          </a:extLst>
        </xdr:cNvPr>
        <xdr:cNvSpPr txBox="1"/>
      </xdr:nvSpPr>
      <xdr:spPr>
        <a:xfrm>
          <a:off x="807176" y="5833846"/>
          <a:ext cx="723900" cy="169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A97343-8A72-40B6-BF14-8F11AFFFE99A}" type="TxLink">
            <a:rPr lang="en-US" sz="1100" b="1" i="0" u="none" strike="noStrike">
              <a:solidFill>
                <a:schemeClr val="bg1"/>
              </a:solidFill>
              <a:latin typeface="Franklin Gothic Medium" panose="020B0603020102020204" pitchFamily="34" charset="0"/>
            </a:rPr>
            <a:t>74</a:t>
          </a:fld>
          <a:endParaRPr lang="en-AU" sz="1100" b="1" u="none">
            <a:solidFill>
              <a:schemeClr val="bg1"/>
            </a:solidFill>
            <a:latin typeface="Franklin Gothic Medium" panose="020B0603020102020204" pitchFamily="34" charset="0"/>
          </a:endParaRPr>
        </a:p>
      </xdr:txBody>
    </xdr:sp>
    <xdr:clientData/>
  </xdr:twoCellAnchor>
  <xdr:twoCellAnchor editAs="oneCell">
    <xdr:from>
      <xdr:col>2</xdr:col>
      <xdr:colOff>35028</xdr:colOff>
      <xdr:row>27</xdr:row>
      <xdr:rowOff>118483</xdr:rowOff>
    </xdr:from>
    <xdr:to>
      <xdr:col>2</xdr:col>
      <xdr:colOff>309521</xdr:colOff>
      <xdr:row>28</xdr:row>
      <xdr:rowOff>192158</xdr:rowOff>
    </xdr:to>
    <xdr:pic>
      <xdr:nvPicPr>
        <xdr:cNvPr id="22" name="Graphic 21" descr="Star-struck face outline with solid fill">
          <a:extLst>
            <a:ext uri="{FF2B5EF4-FFF2-40B4-BE49-F238E27FC236}">
              <a16:creationId xmlns:a16="http://schemas.microsoft.com/office/drawing/2014/main" id="{98F3C5AE-4FBD-42DE-AD0B-C94DC61592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4993" y="5485613"/>
          <a:ext cx="274493" cy="272458"/>
        </a:xfrm>
        <a:prstGeom prst="rect">
          <a:avLst/>
        </a:prstGeom>
      </xdr:spPr>
    </xdr:pic>
    <xdr:clientData/>
  </xdr:twoCellAnchor>
  <xdr:twoCellAnchor editAs="oneCell">
    <xdr:from>
      <xdr:col>11</xdr:col>
      <xdr:colOff>0</xdr:colOff>
      <xdr:row>25</xdr:row>
      <xdr:rowOff>0</xdr:rowOff>
    </xdr:from>
    <xdr:to>
      <xdr:col>12</xdr:col>
      <xdr:colOff>571500</xdr:colOff>
      <xdr:row>34</xdr:row>
      <xdr:rowOff>33617</xdr:rowOff>
    </xdr:to>
    <mc:AlternateContent xmlns:mc="http://schemas.openxmlformats.org/markup-compatibility/2006">
      <mc:Choice xmlns:a14="http://schemas.microsoft.com/office/drawing/2010/main" Requires="a14">
        <xdr:graphicFrame macro="">
          <xdr:nvGraphicFramePr>
            <xdr:cNvPr id="23" name="Representative">
              <a:extLst>
                <a:ext uri="{FF2B5EF4-FFF2-40B4-BE49-F238E27FC236}">
                  <a16:creationId xmlns:a16="http://schemas.microsoft.com/office/drawing/2014/main" id="{3EDD6B81-C57D-4FBC-84F8-486CF0AECAF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395882" y="5065059"/>
              <a:ext cx="1333500" cy="187138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5</xdr:row>
      <xdr:rowOff>1906</xdr:rowOff>
    </xdr:from>
    <xdr:to>
      <xdr:col>10</xdr:col>
      <xdr:colOff>78441</xdr:colOff>
      <xdr:row>19</xdr:row>
      <xdr:rowOff>0</xdr:rowOff>
    </xdr:to>
    <xdr:graphicFrame macro="">
      <xdr:nvGraphicFramePr>
        <xdr:cNvPr id="24" name="Chart 23">
          <a:extLst>
            <a:ext uri="{FF2B5EF4-FFF2-40B4-BE49-F238E27FC236}">
              <a16:creationId xmlns:a16="http://schemas.microsoft.com/office/drawing/2014/main" id="{89D6B015-A760-4B5A-B719-D736DD29C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11207</xdr:colOff>
      <xdr:row>19</xdr:row>
      <xdr:rowOff>56029</xdr:rowOff>
    </xdr:from>
    <xdr:to>
      <xdr:col>11</xdr:col>
      <xdr:colOff>11206</xdr:colOff>
      <xdr:row>37</xdr:row>
      <xdr:rowOff>56030</xdr:rowOff>
    </xdr:to>
    <xdr:grpSp>
      <xdr:nvGrpSpPr>
        <xdr:cNvPr id="27" name="Group 26">
          <a:extLst>
            <a:ext uri="{FF2B5EF4-FFF2-40B4-BE49-F238E27FC236}">
              <a16:creationId xmlns:a16="http://schemas.microsoft.com/office/drawing/2014/main" id="{241305AB-F055-4436-8A3D-7990394A01B2}"/>
            </a:ext>
          </a:extLst>
        </xdr:cNvPr>
        <xdr:cNvGrpSpPr/>
      </xdr:nvGrpSpPr>
      <xdr:grpSpPr>
        <a:xfrm>
          <a:off x="2073089" y="3888441"/>
          <a:ext cx="5333999" cy="3675530"/>
          <a:chOff x="8325972" y="8471647"/>
          <a:chExt cx="5513293" cy="2622179"/>
        </a:xfrm>
        <a:solidFill>
          <a:schemeClr val="bg1"/>
        </a:solidFill>
      </xdr:grpSpPr>
      <xdr:graphicFrame macro="">
        <xdr:nvGraphicFramePr>
          <xdr:cNvPr id="28" name="Chart 27">
            <a:extLst>
              <a:ext uri="{FF2B5EF4-FFF2-40B4-BE49-F238E27FC236}">
                <a16:creationId xmlns:a16="http://schemas.microsoft.com/office/drawing/2014/main" id="{92707CB8-CE7B-80FF-4D41-275416C2B07F}"/>
              </a:ext>
            </a:extLst>
          </xdr:cNvPr>
          <xdr:cNvGraphicFramePr/>
        </xdr:nvGraphicFramePr>
        <xdr:xfrm>
          <a:off x="8325972" y="8471648"/>
          <a:ext cx="3048000" cy="262217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9" name="Chart 28">
            <a:extLst>
              <a:ext uri="{FF2B5EF4-FFF2-40B4-BE49-F238E27FC236}">
                <a16:creationId xmlns:a16="http://schemas.microsoft.com/office/drawing/2014/main" id="{14E44A20-63BE-61BB-612D-C9A7829AF21F}"/>
              </a:ext>
            </a:extLst>
          </xdr:cNvPr>
          <xdr:cNvGraphicFramePr/>
        </xdr:nvGraphicFramePr>
        <xdr:xfrm>
          <a:off x="11373972" y="8471647"/>
          <a:ext cx="2465293" cy="262217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12</xdr:col>
      <xdr:colOff>74631</xdr:colOff>
      <xdr:row>5</xdr:row>
      <xdr:rowOff>31264</xdr:rowOff>
    </xdr:from>
    <xdr:to>
      <xdr:col>16</xdr:col>
      <xdr:colOff>0</xdr:colOff>
      <xdr:row>18</xdr:row>
      <xdr:rowOff>179294</xdr:rowOff>
    </xdr:to>
    <xdr:graphicFrame macro="">
      <xdr:nvGraphicFramePr>
        <xdr:cNvPr id="30" name="Chart 29">
          <a:extLst>
            <a:ext uri="{FF2B5EF4-FFF2-40B4-BE49-F238E27FC236}">
              <a16:creationId xmlns:a16="http://schemas.microsoft.com/office/drawing/2014/main" id="{210FD35F-52A8-4F45-B852-D8BD1A47A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0</xdr:colOff>
      <xdr:row>5</xdr:row>
      <xdr:rowOff>70419</xdr:rowOff>
    </xdr:from>
    <xdr:to>
      <xdr:col>20</xdr:col>
      <xdr:colOff>0</xdr:colOff>
      <xdr:row>18</xdr:row>
      <xdr:rowOff>179294</xdr:rowOff>
    </xdr:to>
    <xdr:graphicFrame macro="">
      <xdr:nvGraphicFramePr>
        <xdr:cNvPr id="31" name="Chart 30">
          <a:extLst>
            <a:ext uri="{FF2B5EF4-FFF2-40B4-BE49-F238E27FC236}">
              <a16:creationId xmlns:a16="http://schemas.microsoft.com/office/drawing/2014/main" id="{0D9B8F52-2EA5-45C6-BEEC-26BDC92F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415365</xdr:colOff>
      <xdr:row>9</xdr:row>
      <xdr:rowOff>135585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415365</xdr:colOff>
      <xdr:row>2</xdr:row>
      <xdr:rowOff>294859</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415365</xdr:colOff>
      <xdr:row>15</xdr:row>
      <xdr:rowOff>178905</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415365</xdr:colOff>
      <xdr:row>5</xdr:row>
      <xdr:rowOff>185940</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415365</xdr:colOff>
      <xdr:row>12</xdr:row>
      <xdr:rowOff>169750</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422909</xdr:colOff>
      <xdr:row>18</xdr:row>
      <xdr:rowOff>143377</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499406828705" backgroundQuery="1" createdVersion="8" refreshedVersion="8" minRefreshableVersion="3" recordCount="0" supportSubquery="1" supportAdvancedDrill="1" xr:uid="{1D961AC0-9117-4C00-B49E-F3DDD06E851F}">
  <cacheSource type="external" connectionId="1"/>
  <cacheFields count="3">
    <cacheField name="[Measures].[Count of Call number]" caption="Count of Call number" numFmtId="0" hierarchy="26" level="32767"/>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477717939815" backgroundQuery="1" createdVersion="8" refreshedVersion="8" minRefreshableVersion="3" recordCount="0" supportSubquery="1" supportAdvancedDrill="1" xr:uid="{1586122B-624C-4226-B54A-1FF5D0AA6DD2}">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543367939812" backgroundQuery="1" createdVersion="8" refreshedVersion="8" minRefreshableVersion="3" recordCount="0" supportSubquery="1" supportAdvancedDrill="1" xr:uid="{4AC96365-1E04-4600-8224-4A11642B358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29944560182" backgroundQuery="1" createdVersion="8" refreshedVersion="8" minRefreshableVersion="3" recordCount="0" supportSubquery="1" supportAdvancedDrill="1" xr:uid="{FDAC0BAF-2D2E-4CE2-B3F8-AED07F1FFF28}">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s>
  <cacheHierarchies count="28">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67421412034" backgroundQuery="1" createdVersion="8" refreshedVersion="8" minRefreshableVersion="3" recordCount="0" supportSubquery="1" supportAdvancedDrill="1" xr:uid="{454AA6E9-76EA-4318-A4FC-7D4817991EDA}">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67421759258" backgroundQuery="1" createdVersion="8" refreshedVersion="8" minRefreshableVersion="3" recordCount="0" supportSubquery="1" supportAdvancedDrill="1" xr:uid="{14ACD43D-A85F-4BFD-BA7E-80A6EAFED51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309">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8T00:00:00"/>
        <d v="2023-06-09T00:00:00"/>
        <d v="2023-06-10T00:00:00"/>
        <d v="2023-06-11T00:00:00"/>
        <d v="2023-06-13T00:00:00"/>
        <d v="2023-06-14T00:00:00"/>
        <d v="2023-06-15T00:00:00"/>
        <d v="2023-06-16T00:00:00"/>
        <d v="2023-06-17T00:00:00"/>
        <d v="2023-06-18T00:00:00"/>
        <d v="2023-06-20T00:00:00"/>
        <d v="2023-06-21T00:00:00"/>
        <d v="2023-06-23T00:00:00"/>
        <d v="2023-06-24T00:00:00"/>
        <d v="2023-06-25T00:00:00"/>
        <d v="2023-06-26T00:00:00"/>
        <d v="2023-06-27T00:00:00"/>
        <d v="2023-06-28T00:00:00"/>
        <d v="2023-06-29T00:00:00"/>
        <d v="2023-06-30T00:00:00"/>
        <d v="2023-07-01T00:00:00"/>
        <d v="2023-07-02T00:00:00"/>
        <d v="2023-07-05T00:00:00"/>
        <d v="2023-07-06T00:00:00"/>
        <d v="2023-07-07T00:00:00"/>
        <d v="2023-07-08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7T00:00:00"/>
        <d v="2023-07-28T00:00:00"/>
        <d v="2023-07-29T00:00:00"/>
        <d v="2023-07-31T00:00:00"/>
        <d v="2023-08-02T00:00:00"/>
        <d v="2023-08-03T00:00:00"/>
        <d v="2023-08-04T00:00:00"/>
        <d v="2023-08-05T00:00:00"/>
        <d v="2023-08-06T00:00:00"/>
        <d v="2023-08-08T00:00:00"/>
        <d v="2023-08-10T00:00:00"/>
        <d v="2023-08-13T00:00:00"/>
        <d v="2023-08-16T00:00:00"/>
        <d v="2023-08-17T00:00:00"/>
        <d v="2023-08-18T00:00:00"/>
        <d v="2023-08-19T00:00:00"/>
        <d v="2023-08-20T00:00:00"/>
        <d v="2023-08-21T00:00:00"/>
        <d v="2023-08-23T00:00:00"/>
        <d v="2023-08-24T00:00:00"/>
        <d v="2023-08-25T00:00:00"/>
        <d v="2023-08-26T00:00:00"/>
        <d v="2023-08-27T00:00:00"/>
        <d v="2023-08-30T00:00:00"/>
        <d v="2023-08-31T00:00:00"/>
        <d v="2023-09-01T00:00:00"/>
        <d v="2023-09-03T00:00:00"/>
        <d v="2023-09-04T00:00:00"/>
        <d v="2023-09-05T00:00:00"/>
        <d v="2023-09-06T00:00:00"/>
        <d v="2023-09-08T00:00:00"/>
        <d v="2023-09-09T00:00:00"/>
        <d v="2023-09-10T00:00:00"/>
        <d v="2023-09-12T00:00:00"/>
        <d v="2023-09-14T00:00:00"/>
        <d v="2023-09-15T00:00:00"/>
        <d v="2023-09-16T00:00:00"/>
        <d v="2023-09-17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1-01T00:00:00"/>
        <d v="2023-11-02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1T00:00:00"/>
        <d v="2023-11-23T00:00:00"/>
        <d v="2023-11-24T00:00:00"/>
        <d v="2023-11-26T00:00:00"/>
        <d v="2023-11-27T00:00:00"/>
        <d v="2023-11-28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67422106481" backgroundQuery="1" createdVersion="8" refreshedVersion="8" minRefreshableVersion="3" recordCount="0" supportSubquery="1" supportAdvancedDrill="1" xr:uid="{425E3515-4E3D-431C-BA15-DC122133F790}">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6"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67422569443" backgroundQuery="1" createdVersion="8" refreshedVersion="8" minRefreshableVersion="3" recordCount="0" supportSubquery="1" supportAdvancedDrill="1" xr:uid="{9882DF64-5D82-4342-99D0-729FFFF3CB3E}">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767422916666" backgroundQuery="1" createdVersion="8" refreshedVersion="8" minRefreshableVersion="3" recordCount="0" supportSubquery="1" supportAdvancedDrill="1" xr:uid="{94AC547E-6CF0-4BF5-B302-FEADF5A8C0BE}">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28">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mahadik" refreshedDate="46111.477713888889" backgroundQuery="1" createdVersion="3" refreshedVersion="8" minRefreshableVersion="3" recordCount="0" supportSubquery="1" supportAdvancedDrill="1" xr:uid="{A8064C15-1513-4B19-AC4A-C873ACFCD786}">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12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BD089-D161-4756-BE5B-58F509B503B0}" name="rep analyse" cacheId="172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A84:G10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A541B-D0D3-4280-8C96-A6D351035E29}" name="Reps Rating Pivot" cacheId="18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76:B8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BAF3D-4FD3-4145-BC3F-9B124705BB62}" name="PivotTable20" cacheId="8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1:D6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F1DB88-6146-4DB5-B6E7-44C9B95B61E4}" name="Sels Pivot" cacheId="18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5:A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9">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BC20D3-7310-45D2-8D2E-1617AB023D4B}" name="PivotTable18" cacheId="8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C51"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Count of Call number" fld="0"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6485EB-282B-4BC8-A818-8FE001919ECF}" name="PivotTable15" cacheId="18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28:B3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0E6866-D7ED-4FD6-A850-F01CD9C43F6D}" name="PivotTable14" cacheId="18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9958C0-4DFD-4127-A624-0B4FF0F04F02}" name="reps pivot" cacheId="18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78ECC5-AB00-4623-975D-EC9C09157ABE}" name="Summary Pivot" cacheId="8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0831F37-1362-4887-8BBC-335F28F60300}" sourceName="[calls].[Representative]">
  <pivotTables>
    <pivotTable tabId="6" name="reps pivot"/>
    <pivotTable tabId="6" name="PivotTable14"/>
    <pivotTable tabId="6" name="PivotTable15"/>
    <pivotTable tabId="6" name="Sels Pivot"/>
    <pivotTable tabId="6" name="Reps Rating Pivot"/>
  </pivotTables>
  <data>
    <olap pivotCacheId="1121270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826FD32-DE31-4C7C-B0FF-9BB5D8E5618C}" cache="Slicer_Representative" caption="Reps" level="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3"/>
    <tableColumn id="5" xr3:uid="{5A35565E-8707-4DED-AD15-A0669D67B382}" name="Date of Call" dataDxfId="22"/>
    <tableColumn id="6" xr3:uid="{F2E4F158-B41F-47BC-8DF8-DFCADFEE4E40}" name="Purchase Amount"/>
    <tableColumn id="7" xr3:uid="{04B291B5-47BD-4F78-8FD8-D1551CCA6BD9}" name="Satisfaction Rating"/>
    <tableColumn id="8" xr3:uid="{6E4123C0-0B17-43B8-A142-A1E540CE974C}" name="FY" dataDxfId="21">
      <calculatedColumnFormula>IF(MONTH(calls[[#This Row],[Date of Call]])&lt;=6, YEAR(calls[[#This Row],[Date of Call]]), YEAR(calls[[#This Row],[Date of Call]])+1)</calculatedColumnFormula>
    </tableColumn>
    <tableColumn id="9" xr3:uid="{199FA271-5E9B-46CE-9BC6-2801F92CD17E}" name="Day of week" dataDxfId="20">
      <calculatedColumnFormula>TEXT(calls[[#This Row],[Date of Call]],"DDDD")</calculatedColumnFormula>
    </tableColumn>
    <tableColumn id="10" xr3:uid="{328CDB09-95B8-4D5E-9ED9-EF0D363735A1}" name="Duration Bucket" dataDxfId="1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7" headerRowBorderDxfId="16" tableBorderDxfId="15" totalsRowBorderDxfId="14">
  <autoFilter ref="Q3:T18" xr:uid="{27158F51-A707-4171-8A04-81FB0AABCBA5}"/>
  <tableColumns count="4">
    <tableColumn id="1" xr3:uid="{02688061-6A8C-4E23-B7FF-D00CD8B58CAC}" name="Customer ID" dataDxfId="13"/>
    <tableColumn id="2" xr3:uid="{771678B6-DB44-426B-9874-B4E421A440D5}" name="Gedner" dataDxfId="12"/>
    <tableColumn id="3" xr3:uid="{B0D41C62-587E-494D-B49A-603F2C05F8D3}" name="Age" dataDxfId="11"/>
    <tableColumn id="4" xr3:uid="{663F92D6-FE31-4D81-9E01-8D066DDC8A88}" name="City"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8796A6D-6226-4AF0-B0FF-9106D274568A}">
  <we:reference id="wa200003696" version="1.3.0.0" store="en-US"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66AE7501-52E3-4FCA-AAB5-6381BA79C735}">
  <we:reference id="wa200005502" version="1.0.0.12" store="en-US" storeType="OMEX"/>
  <we:alternateReferences>
    <we:reference id="wa200005502" version="1.0.0.12" store="wa200005502" storeType="OMEX"/>
  </we:alternateReferences>
  <we:properties>
    <we:property name="docId" value="&quot;RS8QrtVppns_8MITc1R6g&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A2A9B-4DB4-47B8-AADD-FAFCDF0429C5}">
  <dimension ref="A3:I103"/>
  <sheetViews>
    <sheetView topLeftCell="A40" zoomScale="85" zoomScaleNormal="85" workbookViewId="0">
      <selection activeCell="I91" sqref="I91"/>
    </sheetView>
  </sheetViews>
  <sheetFormatPr defaultRowHeight="15.75" x14ac:dyDescent="0.3"/>
  <cols>
    <col min="1" max="1" width="11.88671875" bestFit="1" customWidth="1"/>
    <col min="2" max="2" width="9.33203125" bestFit="1" customWidth="1"/>
    <col min="3" max="3" width="10.44140625" bestFit="1" customWidth="1"/>
    <col min="4" max="4" width="10" bestFit="1" customWidth="1"/>
    <col min="5" max="5" width="7.44140625" bestFit="1" customWidth="1"/>
    <col min="6" max="6" width="6.44140625" bestFit="1" customWidth="1"/>
    <col min="7" max="7" width="10.44140625" bestFit="1" customWidth="1"/>
    <col min="8" max="8" width="10.5546875" bestFit="1" customWidth="1"/>
    <col min="9" max="9" width="9.5546875" bestFit="1" customWidth="1"/>
  </cols>
  <sheetData>
    <row r="3" spans="1:5" x14ac:dyDescent="0.3">
      <c r="A3" t="s">
        <v>1042</v>
      </c>
      <c r="B3" t="s">
        <v>1043</v>
      </c>
      <c r="C3" t="s">
        <v>1044</v>
      </c>
      <c r="D3" t="s">
        <v>1046</v>
      </c>
      <c r="E3" t="s">
        <v>1045</v>
      </c>
    </row>
    <row r="4" spans="1:5" x14ac:dyDescent="0.3">
      <c r="A4" s="22">
        <v>1000</v>
      </c>
      <c r="B4" s="23">
        <v>96623</v>
      </c>
      <c r="C4" s="22">
        <v>89850</v>
      </c>
      <c r="D4" s="24">
        <v>3.8854000000000033</v>
      </c>
      <c r="E4" s="22">
        <v>307</v>
      </c>
    </row>
    <row r="9" spans="1:5" x14ac:dyDescent="0.3">
      <c r="A9" t="s">
        <v>1042</v>
      </c>
      <c r="B9" t="s">
        <v>1043</v>
      </c>
      <c r="C9" t="s">
        <v>1044</v>
      </c>
      <c r="D9" t="s">
        <v>1046</v>
      </c>
      <c r="E9" t="s">
        <v>1045</v>
      </c>
    </row>
    <row r="10" spans="1:5" x14ac:dyDescent="0.3">
      <c r="A10" s="22">
        <v>218</v>
      </c>
      <c r="B10" s="23">
        <v>20581</v>
      </c>
      <c r="C10" s="22">
        <v>19300</v>
      </c>
      <c r="D10" s="24">
        <v>3.8706422018348627</v>
      </c>
      <c r="E10" s="22">
        <v>74</v>
      </c>
    </row>
    <row r="13" spans="1:5" x14ac:dyDescent="0.3">
      <c r="A13" s="25" t="s">
        <v>1047</v>
      </c>
      <c r="B13" t="s">
        <v>1042</v>
      </c>
      <c r="C13" t="s">
        <v>1061</v>
      </c>
    </row>
    <row r="14" spans="1:5" x14ac:dyDescent="0.3">
      <c r="A14" s="27" t="s">
        <v>1049</v>
      </c>
      <c r="B14" s="22">
        <v>19</v>
      </c>
      <c r="C14" s="22">
        <v>19</v>
      </c>
    </row>
    <row r="15" spans="1:5" x14ac:dyDescent="0.3">
      <c r="A15" s="27" t="s">
        <v>1050</v>
      </c>
      <c r="B15" s="22">
        <v>10</v>
      </c>
      <c r="C15" s="22">
        <v>10</v>
      </c>
    </row>
    <row r="16" spans="1:5" x14ac:dyDescent="0.3">
      <c r="A16" s="27" t="s">
        <v>1051</v>
      </c>
      <c r="B16" s="22">
        <v>40</v>
      </c>
      <c r="C16" s="22">
        <v>40</v>
      </c>
    </row>
    <row r="17" spans="1:3" x14ac:dyDescent="0.3">
      <c r="A17" s="27" t="s">
        <v>1052</v>
      </c>
      <c r="B17" s="22">
        <v>40</v>
      </c>
      <c r="C17" s="22">
        <v>40</v>
      </c>
    </row>
    <row r="18" spans="1:3" x14ac:dyDescent="0.3">
      <c r="A18" s="27" t="s">
        <v>1053</v>
      </c>
      <c r="B18" s="22">
        <v>13</v>
      </c>
      <c r="C18" s="22">
        <v>13</v>
      </c>
    </row>
    <row r="19" spans="1:3" x14ac:dyDescent="0.3">
      <c r="A19" s="27" t="s">
        <v>1054</v>
      </c>
      <c r="B19" s="22">
        <v>12</v>
      </c>
      <c r="C19" s="22">
        <v>12</v>
      </c>
    </row>
    <row r="20" spans="1:3" x14ac:dyDescent="0.3">
      <c r="A20" s="27" t="s">
        <v>1055</v>
      </c>
      <c r="B20" s="22">
        <v>9</v>
      </c>
      <c r="C20" s="22">
        <v>9</v>
      </c>
    </row>
    <row r="21" spans="1:3" x14ac:dyDescent="0.3">
      <c r="A21" s="27" t="s">
        <v>1056</v>
      </c>
      <c r="B21" s="22">
        <v>13</v>
      </c>
      <c r="C21" s="22">
        <v>13</v>
      </c>
    </row>
    <row r="22" spans="1:3" x14ac:dyDescent="0.3">
      <c r="A22" s="27" t="s">
        <v>1057</v>
      </c>
      <c r="B22" s="22">
        <v>18</v>
      </c>
      <c r="C22" s="22">
        <v>18</v>
      </c>
    </row>
    <row r="23" spans="1:3" x14ac:dyDescent="0.3">
      <c r="A23" s="27" t="s">
        <v>1058</v>
      </c>
      <c r="B23" s="22">
        <v>21</v>
      </c>
      <c r="C23" s="22">
        <v>21</v>
      </c>
    </row>
    <row r="24" spans="1:3" x14ac:dyDescent="0.3">
      <c r="A24" s="27" t="s">
        <v>1059</v>
      </c>
      <c r="B24" s="22">
        <v>14</v>
      </c>
      <c r="C24" s="22">
        <v>14</v>
      </c>
    </row>
    <row r="25" spans="1:3" x14ac:dyDescent="0.3">
      <c r="A25" s="27" t="s">
        <v>1060</v>
      </c>
      <c r="B25" s="22">
        <v>9</v>
      </c>
      <c r="C25" s="22">
        <v>9</v>
      </c>
    </row>
    <row r="26" spans="1:3" x14ac:dyDescent="0.3">
      <c r="A26" s="27" t="s">
        <v>1048</v>
      </c>
      <c r="B26" s="22">
        <v>218</v>
      </c>
      <c r="C26" s="22">
        <v>218</v>
      </c>
    </row>
    <row r="28" spans="1:3" x14ac:dyDescent="0.3">
      <c r="A28" s="25" t="s">
        <v>1047</v>
      </c>
      <c r="B28" t="s">
        <v>1069</v>
      </c>
    </row>
    <row r="29" spans="1:3" x14ac:dyDescent="0.3">
      <c r="A29" s="27" t="s">
        <v>1065</v>
      </c>
      <c r="B29" s="21">
        <v>28</v>
      </c>
    </row>
    <row r="30" spans="1:3" x14ac:dyDescent="0.3">
      <c r="A30" s="27" t="s">
        <v>1063</v>
      </c>
      <c r="B30" s="21">
        <v>24</v>
      </c>
    </row>
    <row r="31" spans="1:3" x14ac:dyDescent="0.3">
      <c r="A31" s="27" t="s">
        <v>1067</v>
      </c>
      <c r="B31" s="21">
        <v>44</v>
      </c>
    </row>
    <row r="32" spans="1:3" x14ac:dyDescent="0.3">
      <c r="A32" s="27" t="s">
        <v>1068</v>
      </c>
      <c r="B32" s="21">
        <v>36</v>
      </c>
    </row>
    <row r="33" spans="1:9" x14ac:dyDescent="0.3">
      <c r="A33" s="27" t="s">
        <v>1066</v>
      </c>
      <c r="B33" s="21">
        <v>33</v>
      </c>
    </row>
    <row r="34" spans="1:9" x14ac:dyDescent="0.3">
      <c r="A34" s="27" t="s">
        <v>1062</v>
      </c>
      <c r="B34" s="21">
        <v>29</v>
      </c>
    </row>
    <row r="35" spans="1:9" x14ac:dyDescent="0.3">
      <c r="A35" s="27" t="s">
        <v>1064</v>
      </c>
      <c r="B35" s="21">
        <v>24</v>
      </c>
    </row>
    <row r="36" spans="1:9" x14ac:dyDescent="0.3">
      <c r="A36" s="27" t="s">
        <v>1048</v>
      </c>
      <c r="B36" s="21">
        <v>218</v>
      </c>
    </row>
    <row r="43" spans="1:9" x14ac:dyDescent="0.3">
      <c r="H43" t="s">
        <v>1075</v>
      </c>
      <c r="I43" t="str">
        <f>A56</f>
        <v>R02</v>
      </c>
    </row>
    <row r="44" spans="1:9" x14ac:dyDescent="0.3">
      <c r="E44" t="s">
        <v>1070</v>
      </c>
      <c r="F44" t="s">
        <v>1071</v>
      </c>
      <c r="G44" t="s">
        <v>1072</v>
      </c>
      <c r="H44" t="s">
        <v>1073</v>
      </c>
      <c r="I44" t="s">
        <v>1074</v>
      </c>
    </row>
    <row r="45" spans="1:9" x14ac:dyDescent="0.3">
      <c r="A45" s="25" t="s">
        <v>1047</v>
      </c>
      <c r="B45" t="s">
        <v>1069</v>
      </c>
      <c r="C45" t="s">
        <v>1043</v>
      </c>
      <c r="E45" s="27" t="s">
        <v>11</v>
      </c>
      <c r="F45" s="21">
        <v>189</v>
      </c>
      <c r="G45" s="28">
        <v>18415</v>
      </c>
      <c r="H45" t="e">
        <f>IF(E45=$I$43,F45,NA())</f>
        <v>#N/A</v>
      </c>
      <c r="I45" t="e">
        <f>IF(E45=$I$43,G45,NA())</f>
        <v>#N/A</v>
      </c>
    </row>
    <row r="46" spans="1:9" x14ac:dyDescent="0.3">
      <c r="A46" s="27" t="s">
        <v>11</v>
      </c>
      <c r="B46" s="21">
        <v>189</v>
      </c>
      <c r="C46" s="23">
        <v>18415</v>
      </c>
      <c r="E46" s="27" t="s">
        <v>9</v>
      </c>
      <c r="F46" s="21">
        <v>218</v>
      </c>
      <c r="G46" s="28">
        <v>20581</v>
      </c>
      <c r="H46">
        <f t="shared" ref="H46:H49" si="0">IF(E46=$I$43,F46,NA())</f>
        <v>218</v>
      </c>
      <c r="I46">
        <f t="shared" ref="I46:I49" si="1">IF(E46=$I$43,G46,NA())</f>
        <v>20581</v>
      </c>
    </row>
    <row r="47" spans="1:9" x14ac:dyDescent="0.3">
      <c r="A47" s="27" t="s">
        <v>9</v>
      </c>
      <c r="B47" s="21">
        <v>218</v>
      </c>
      <c r="C47" s="23">
        <v>20581</v>
      </c>
      <c r="E47" s="27" t="s">
        <v>6</v>
      </c>
      <c r="F47" s="21">
        <v>207</v>
      </c>
      <c r="G47" s="28">
        <v>20872</v>
      </c>
      <c r="H47" t="e">
        <f t="shared" si="0"/>
        <v>#N/A</v>
      </c>
      <c r="I47" t="e">
        <f t="shared" si="1"/>
        <v>#N/A</v>
      </c>
    </row>
    <row r="48" spans="1:9" x14ac:dyDescent="0.3">
      <c r="A48" s="27" t="s">
        <v>6</v>
      </c>
      <c r="B48" s="21">
        <v>207</v>
      </c>
      <c r="C48" s="23">
        <v>20872</v>
      </c>
      <c r="E48" s="27" t="s">
        <v>13</v>
      </c>
      <c r="F48" s="21">
        <v>186</v>
      </c>
      <c r="G48" s="28">
        <v>16651</v>
      </c>
      <c r="H48" t="e">
        <f t="shared" si="0"/>
        <v>#N/A</v>
      </c>
      <c r="I48" t="e">
        <f t="shared" si="1"/>
        <v>#N/A</v>
      </c>
    </row>
    <row r="49" spans="1:9" x14ac:dyDescent="0.3">
      <c r="A49" s="27" t="s">
        <v>13</v>
      </c>
      <c r="B49" s="21">
        <v>186</v>
      </c>
      <c r="C49" s="23">
        <v>16651</v>
      </c>
      <c r="E49" s="27" t="s">
        <v>10</v>
      </c>
      <c r="F49" s="21">
        <v>200</v>
      </c>
      <c r="G49" s="28">
        <v>20104</v>
      </c>
      <c r="H49" t="e">
        <f t="shared" si="0"/>
        <v>#N/A</v>
      </c>
      <c r="I49" t="e">
        <f t="shared" si="1"/>
        <v>#N/A</v>
      </c>
    </row>
    <row r="50" spans="1:9" x14ac:dyDescent="0.3">
      <c r="A50" s="27" t="s">
        <v>10</v>
      </c>
      <c r="B50" s="21">
        <v>200</v>
      </c>
      <c r="C50" s="23">
        <v>20104</v>
      </c>
    </row>
    <row r="51" spans="1:9" x14ac:dyDescent="0.3">
      <c r="A51" s="27" t="s">
        <v>1048</v>
      </c>
      <c r="B51" s="21">
        <v>1000</v>
      </c>
      <c r="C51" s="23">
        <v>96623</v>
      </c>
    </row>
    <row r="55" spans="1:9" x14ac:dyDescent="0.3">
      <c r="A55" s="25" t="s">
        <v>1047</v>
      </c>
    </row>
    <row r="56" spans="1:9" x14ac:dyDescent="0.3">
      <c r="A56" s="29" t="s">
        <v>9</v>
      </c>
    </row>
    <row r="61" spans="1:9" x14ac:dyDescent="0.3">
      <c r="A61" s="25" t="s">
        <v>1042</v>
      </c>
      <c r="B61" s="25" t="s">
        <v>1076</v>
      </c>
    </row>
    <row r="62" spans="1:9" ht="15" customHeight="1" x14ac:dyDescent="0.3">
      <c r="A62" s="25" t="s">
        <v>1047</v>
      </c>
      <c r="B62" t="s">
        <v>999</v>
      </c>
      <c r="C62" t="s">
        <v>998</v>
      </c>
      <c r="D62" t="s">
        <v>1048</v>
      </c>
    </row>
    <row r="63" spans="1:9" x14ac:dyDescent="0.3">
      <c r="A63" s="27" t="s">
        <v>1002</v>
      </c>
      <c r="B63" s="22">
        <v>144</v>
      </c>
      <c r="C63" s="22">
        <v>132</v>
      </c>
      <c r="D63" s="22">
        <v>276</v>
      </c>
    </row>
    <row r="64" spans="1:9" x14ac:dyDescent="0.3">
      <c r="A64" s="27" t="s">
        <v>1001</v>
      </c>
      <c r="B64" s="22">
        <v>326</v>
      </c>
      <c r="C64" s="22">
        <v>63</v>
      </c>
      <c r="D64" s="22">
        <v>389</v>
      </c>
    </row>
    <row r="65" spans="1:4" x14ac:dyDescent="0.3">
      <c r="A65" s="27" t="s">
        <v>1000</v>
      </c>
      <c r="B65" s="22">
        <v>129</v>
      </c>
      <c r="C65" s="22">
        <v>206</v>
      </c>
      <c r="D65" s="22">
        <v>335</v>
      </c>
    </row>
    <row r="66" spans="1:4" x14ac:dyDescent="0.3">
      <c r="A66" s="27" t="s">
        <v>1048</v>
      </c>
      <c r="B66" s="22">
        <v>599</v>
      </c>
      <c r="C66" s="22">
        <v>401</v>
      </c>
      <c r="D66" s="22">
        <v>1000</v>
      </c>
    </row>
    <row r="76" spans="1:4" x14ac:dyDescent="0.3">
      <c r="A76" s="25" t="s">
        <v>1047</v>
      </c>
      <c r="B76" t="s">
        <v>1042</v>
      </c>
    </row>
    <row r="77" spans="1:4" x14ac:dyDescent="0.3">
      <c r="A77" s="27">
        <v>1</v>
      </c>
      <c r="B77" s="22">
        <v>3</v>
      </c>
    </row>
    <row r="78" spans="1:4" x14ac:dyDescent="0.3">
      <c r="A78" s="27">
        <v>2</v>
      </c>
      <c r="B78" s="22">
        <v>19</v>
      </c>
    </row>
    <row r="79" spans="1:4" x14ac:dyDescent="0.3">
      <c r="A79" s="27">
        <v>3</v>
      </c>
      <c r="B79" s="22">
        <v>35</v>
      </c>
    </row>
    <row r="80" spans="1:4" x14ac:dyDescent="0.3">
      <c r="A80" s="27">
        <v>4</v>
      </c>
      <c r="B80" s="22">
        <v>87</v>
      </c>
    </row>
    <row r="81" spans="1:7" x14ac:dyDescent="0.3">
      <c r="A81" s="27">
        <v>5</v>
      </c>
      <c r="B81" s="22">
        <v>74</v>
      </c>
    </row>
    <row r="82" spans="1:7" x14ac:dyDescent="0.3">
      <c r="A82" s="27" t="s">
        <v>1048</v>
      </c>
      <c r="B82" s="22">
        <v>218</v>
      </c>
    </row>
    <row r="84" spans="1:7" x14ac:dyDescent="0.3">
      <c r="A84" s="25" t="s">
        <v>1043</v>
      </c>
      <c r="B84" s="25" t="s">
        <v>1076</v>
      </c>
    </row>
    <row r="85" spans="1:7" x14ac:dyDescent="0.3">
      <c r="A85" s="25" t="s">
        <v>1047</v>
      </c>
      <c r="B85" t="s">
        <v>11</v>
      </c>
      <c r="C85" t="s">
        <v>9</v>
      </c>
      <c r="D85" t="s">
        <v>6</v>
      </c>
      <c r="E85" t="s">
        <v>13</v>
      </c>
      <c r="F85" t="s">
        <v>10</v>
      </c>
      <c r="G85" t="s">
        <v>1048</v>
      </c>
    </row>
    <row r="86" spans="1:7" x14ac:dyDescent="0.3">
      <c r="A86" s="27" t="s">
        <v>1002</v>
      </c>
      <c r="B86" s="21"/>
      <c r="C86" s="21"/>
      <c r="D86" s="21"/>
      <c r="E86" s="21"/>
      <c r="F86" s="21"/>
      <c r="G86" s="21"/>
    </row>
    <row r="87" spans="1:7" x14ac:dyDescent="0.3">
      <c r="A87" s="32" t="s">
        <v>20</v>
      </c>
      <c r="B87" s="23">
        <v>891</v>
      </c>
      <c r="C87" s="23">
        <v>1332</v>
      </c>
      <c r="D87" s="23">
        <v>1282</v>
      </c>
      <c r="E87" s="23">
        <v>739</v>
      </c>
      <c r="F87" s="23">
        <v>560</v>
      </c>
      <c r="G87" s="23">
        <v>4804</v>
      </c>
    </row>
    <row r="88" spans="1:7" x14ac:dyDescent="0.3">
      <c r="A88" s="32" t="s">
        <v>12</v>
      </c>
      <c r="B88" s="23">
        <v>1991</v>
      </c>
      <c r="C88" s="23">
        <v>1886</v>
      </c>
      <c r="D88" s="23">
        <v>1206</v>
      </c>
      <c r="E88" s="23">
        <v>884</v>
      </c>
      <c r="F88" s="23">
        <v>1722</v>
      </c>
      <c r="G88" s="23">
        <v>7689</v>
      </c>
    </row>
    <row r="89" spans="1:7" x14ac:dyDescent="0.3">
      <c r="A89" s="32" t="s">
        <v>8</v>
      </c>
      <c r="B89" s="23">
        <v>1163</v>
      </c>
      <c r="C89" s="23">
        <v>1180</v>
      </c>
      <c r="D89" s="23">
        <v>1616</v>
      </c>
      <c r="E89" s="23">
        <v>1043</v>
      </c>
      <c r="F89" s="23">
        <v>1747</v>
      </c>
      <c r="G89" s="23">
        <v>6749</v>
      </c>
    </row>
    <row r="90" spans="1:7" x14ac:dyDescent="0.3">
      <c r="A90" s="32" t="s">
        <v>16</v>
      </c>
      <c r="B90" s="23">
        <v>1438</v>
      </c>
      <c r="C90" s="23">
        <v>1616</v>
      </c>
      <c r="D90" s="23">
        <v>866</v>
      </c>
      <c r="E90" s="23">
        <v>829</v>
      </c>
      <c r="F90" s="23">
        <v>2070</v>
      </c>
      <c r="G90" s="23">
        <v>6819</v>
      </c>
    </row>
    <row r="91" spans="1:7" x14ac:dyDescent="0.3">
      <c r="A91" s="27" t="s">
        <v>1001</v>
      </c>
      <c r="B91" s="21"/>
      <c r="C91" s="21"/>
      <c r="D91" s="21"/>
      <c r="E91" s="21"/>
      <c r="F91" s="21"/>
      <c r="G91" s="21"/>
    </row>
    <row r="92" spans="1:7" x14ac:dyDescent="0.3">
      <c r="A92" s="32" t="s">
        <v>24</v>
      </c>
      <c r="B92" s="23">
        <v>1233</v>
      </c>
      <c r="C92" s="23">
        <v>223</v>
      </c>
      <c r="D92" s="23">
        <v>1680</v>
      </c>
      <c r="E92" s="23">
        <v>990</v>
      </c>
      <c r="F92" s="23">
        <v>1508</v>
      </c>
      <c r="G92" s="23">
        <v>5634</v>
      </c>
    </row>
    <row r="93" spans="1:7" x14ac:dyDescent="0.3">
      <c r="A93" s="32" t="s">
        <v>15</v>
      </c>
      <c r="B93" s="23">
        <v>1598</v>
      </c>
      <c r="C93" s="23">
        <v>1907</v>
      </c>
      <c r="D93" s="23">
        <v>869</v>
      </c>
      <c r="E93" s="23">
        <v>1426</v>
      </c>
      <c r="F93" s="23">
        <v>1416</v>
      </c>
      <c r="G93" s="23">
        <v>7216</v>
      </c>
    </row>
    <row r="94" spans="1:7" x14ac:dyDescent="0.3">
      <c r="A94" s="32" t="s">
        <v>5</v>
      </c>
      <c r="B94" s="23">
        <v>900</v>
      </c>
      <c r="C94" s="23">
        <v>1016</v>
      </c>
      <c r="D94" s="23">
        <v>960</v>
      </c>
      <c r="E94" s="23">
        <v>940</v>
      </c>
      <c r="F94" s="23">
        <v>1193</v>
      </c>
      <c r="G94" s="23">
        <v>5009</v>
      </c>
    </row>
    <row r="95" spans="1:7" x14ac:dyDescent="0.3">
      <c r="A95" s="32" t="s">
        <v>18</v>
      </c>
      <c r="B95" s="23">
        <v>900</v>
      </c>
      <c r="C95" s="23">
        <v>1470</v>
      </c>
      <c r="D95" s="23">
        <v>1617</v>
      </c>
      <c r="E95" s="23">
        <v>1314</v>
      </c>
      <c r="F95" s="23">
        <v>941</v>
      </c>
      <c r="G95" s="23">
        <v>6242</v>
      </c>
    </row>
    <row r="96" spans="1:7" x14ac:dyDescent="0.3">
      <c r="A96" s="32" t="s">
        <v>14</v>
      </c>
      <c r="B96" s="23">
        <v>1255</v>
      </c>
      <c r="C96" s="23">
        <v>516</v>
      </c>
      <c r="D96" s="23">
        <v>1874</v>
      </c>
      <c r="E96" s="23">
        <v>1863</v>
      </c>
      <c r="F96" s="23">
        <v>1722</v>
      </c>
      <c r="G96" s="23">
        <v>7230</v>
      </c>
    </row>
    <row r="97" spans="1:7" x14ac:dyDescent="0.3">
      <c r="A97" s="32" t="s">
        <v>19</v>
      </c>
      <c r="B97" s="23">
        <v>1138</v>
      </c>
      <c r="C97" s="23">
        <v>1898</v>
      </c>
      <c r="D97" s="23">
        <v>1482</v>
      </c>
      <c r="E97" s="23">
        <v>846</v>
      </c>
      <c r="F97" s="23">
        <v>1154</v>
      </c>
      <c r="G97" s="23">
        <v>6518</v>
      </c>
    </row>
    <row r="98" spans="1:7" x14ac:dyDescent="0.3">
      <c r="A98" s="27" t="s">
        <v>1000</v>
      </c>
      <c r="B98" s="21"/>
      <c r="C98" s="21"/>
      <c r="D98" s="21"/>
      <c r="E98" s="21"/>
      <c r="F98" s="21"/>
      <c r="G98" s="21"/>
    </row>
    <row r="99" spans="1:7" x14ac:dyDescent="0.3">
      <c r="A99" s="32" t="s">
        <v>17</v>
      </c>
      <c r="B99" s="23">
        <v>1655</v>
      </c>
      <c r="C99" s="23">
        <v>805</v>
      </c>
      <c r="D99" s="23">
        <v>2263</v>
      </c>
      <c r="E99" s="23">
        <v>987</v>
      </c>
      <c r="F99" s="23">
        <v>1075</v>
      </c>
      <c r="G99" s="23">
        <v>6785</v>
      </c>
    </row>
    <row r="100" spans="1:7" x14ac:dyDescent="0.3">
      <c r="A100" s="32" t="s">
        <v>23</v>
      </c>
      <c r="B100" s="23">
        <v>1104</v>
      </c>
      <c r="C100" s="23">
        <v>2280</v>
      </c>
      <c r="D100" s="23">
        <v>1445</v>
      </c>
      <c r="E100" s="23">
        <v>1722</v>
      </c>
      <c r="F100" s="23">
        <v>1196</v>
      </c>
      <c r="G100" s="23">
        <v>7747</v>
      </c>
    </row>
    <row r="101" spans="1:7" x14ac:dyDescent="0.3">
      <c r="A101" s="32" t="s">
        <v>7</v>
      </c>
      <c r="B101" s="23">
        <v>372</v>
      </c>
      <c r="C101" s="23">
        <v>1818</v>
      </c>
      <c r="D101" s="23">
        <v>1346</v>
      </c>
      <c r="E101" s="23">
        <v>1156</v>
      </c>
      <c r="F101" s="23">
        <v>1484</v>
      </c>
      <c r="G101" s="23">
        <v>6176</v>
      </c>
    </row>
    <row r="102" spans="1:7" x14ac:dyDescent="0.3">
      <c r="A102" s="32" t="s">
        <v>22</v>
      </c>
      <c r="B102" s="23">
        <v>1415</v>
      </c>
      <c r="C102" s="23">
        <v>1271</v>
      </c>
      <c r="D102" s="23">
        <v>1214</v>
      </c>
      <c r="E102" s="23">
        <v>1135</v>
      </c>
      <c r="F102" s="23">
        <v>1566</v>
      </c>
      <c r="G102" s="23">
        <v>6601</v>
      </c>
    </row>
    <row r="103" spans="1:7" x14ac:dyDescent="0.3">
      <c r="A103" s="32" t="s">
        <v>21</v>
      </c>
      <c r="B103" s="23">
        <v>1362</v>
      </c>
      <c r="C103" s="23">
        <v>1363</v>
      </c>
      <c r="D103" s="23">
        <v>1152</v>
      </c>
      <c r="E103" s="23">
        <v>777</v>
      </c>
      <c r="F103" s="23">
        <v>750</v>
      </c>
      <c r="G103" s="23">
        <v>5404</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85" zoomScaleNormal="85" workbookViewId="0">
      <selection activeCell="G7" sqref="G7"/>
    </sheetView>
  </sheetViews>
  <sheetFormatPr defaultRowHeight="15" x14ac:dyDescent="0.3"/>
  <cols>
    <col min="1" max="1" width="2.88671875" customWidth="1"/>
    <col min="2" max="2" width="14.77734375" customWidth="1"/>
    <col min="3" max="3" width="13" customWidth="1"/>
    <col min="4" max="4" width="16.77734375" customWidth="1"/>
    <col min="5" max="5" width="15.109375" customWidth="1"/>
    <col min="6" max="6" width="16.33203125" customWidth="1"/>
    <col min="7" max="7" width="17.44140625" customWidth="1"/>
    <col min="8" max="8" width="18.5546875" customWidth="1"/>
    <col min="9" max="9" width="17.44140625" customWidth="1"/>
    <col min="10" max="12" width="15.6640625" customWidth="1"/>
    <col min="13" max="16" width="7.6640625" customWidth="1"/>
    <col min="17" max="17" width="14.77734375" customWidth="1"/>
    <col min="20" max="20" width="10.77734375" customWidth="1"/>
  </cols>
  <sheetData>
    <row r="1" spans="2:20" s="4" customFormat="1" ht="48" customHeight="1" x14ac:dyDescent="0.3">
      <c r="B1" s="5" t="s">
        <v>1003</v>
      </c>
    </row>
    <row r="2" spans="2:20" ht="15.75" x14ac:dyDescent="0.3">
      <c r="R2" s="1"/>
    </row>
    <row r="3" spans="2:20" ht="15.75"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5.75"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5.75"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5.75"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5.75"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5.75"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5.75"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5.75"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5.75"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5.75"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5.75"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5.75"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5.75"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5.75"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5.75"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5.75"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5.75"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5.75"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5.75"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5.75"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ht="15.75"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ht="15.75"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t="15.75"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t="15.75"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t="15.75"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t="15.75"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5.75"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5.75"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5.75"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5.75"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5.75"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5.75"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5.75"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5.75"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5.75"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5.75"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5.75"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5.75"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5.75"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5.75"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5.75"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5.75"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5.75"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5.75"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5.75"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5.75"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5.75"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5.75"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5.75"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5.75"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5.75"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5.75"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5.75"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5.75"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5.75"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5.75"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5.75"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5.75"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5.75"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5.75"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5.75"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5.75"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5.75"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5.75"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5.75"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5.75"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5.75"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5.75"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5.75"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5.75"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5.75"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5.75"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5.75"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5.75"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5.75"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5.75"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5.75"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5.75"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5.75"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5.75"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5.75"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5.75"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5.75"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5.75"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5.75"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5.75"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5.75"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5.75"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5.75"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5.75"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5.75"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5.75"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5.75"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5.75"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5.75"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5.75"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5.75"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5.75"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5.75"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5.75"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5.75"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5.75"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5.75"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5.75"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5.75"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5.75"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5.75"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5.75"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5.75"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5.75"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5.75"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5.75"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5.75"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5.75"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5.75"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5.75"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5.75"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5.75"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5.75"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5.75"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5.75"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5.75"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5.75"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5.75"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5.75"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5.75"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5.75"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5.75"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5.75"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5.75"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5.75"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5.75"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5.75"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5.75"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5.75"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5.75"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5.75"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5.75"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5.75"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5.75"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5.75"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5.75"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5.75"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5.75"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5.75"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5.75"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5.75"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5.75"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5.75"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5.75"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5.75"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5.75"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5.75"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5.75"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5.75"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5.75"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5.75"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5.75"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5.75"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5.75"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5.75"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5.75"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5.75"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5.75"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5.75"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5.75"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5.75"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5.75"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5.75"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5.75"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5.75"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5.75"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5.75"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5.75"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5.75"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5.75"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5.75"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5.75"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5.75"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5.75"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5.75"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5.75"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5.75"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5.75"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5.75"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5.75"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5.75"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5.75"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5.75"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5.75"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5.75"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5.75"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5.75"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5.75"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5.75"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5.75"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5.75"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5.75"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5.75"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5.75"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5.75"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5.75"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5.75"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5.75"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5.75"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5.75"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5.75"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5.75"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5.75"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5.75"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5.75"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5.75"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5.75"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5.75"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5.75"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5.75"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5.75"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5.75"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5.75"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5.75"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5.75"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5.75"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5.75"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5.75"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5.75"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5.75"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5.75"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5.75"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5.75"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5.75"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5.75"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5.75"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5.75"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5.75"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5.75"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5.75"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5.75"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5.75"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5.75"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5.75"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5.75"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5.75"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5.75"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5.75"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5.75"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5.75"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5.75"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5.75"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5.75"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5.75"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5.75"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5.75"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5.75"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5.75"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5.75"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5.75"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5.75"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5.75"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5.75"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5.75"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5.75"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5.75"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5.75"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5.75"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5.75"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5.75"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5.75"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5.75"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5.75"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5.75"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5.75"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5.75"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5.75"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5.75"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5.75"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5.75"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5.75"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5.75"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5.75"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5.75"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5.75"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5.75"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5.75"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5.75"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5.75"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5.75"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5.75"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5.75"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5.75"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5.75"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5.75"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5.75"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5.75"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5.75"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5.75"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5.75"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5.75"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5.75"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5.75"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5.75"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5.75"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5.75"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5.75"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5.75"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5.75"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5.75"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5.75"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5.75"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5.75"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5.75"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5.75"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5.75"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5.75"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5.75"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5.75"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5.75"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5.75"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5.75"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5.75"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5.75"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5.75"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5.75"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5.75"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5.75"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5.75"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5.75"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5.75"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5.75"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5.75"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5.75"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5.75"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5.75"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5.75"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5.75"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5.75"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5.75"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5.75"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5.75"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5.75"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5.75"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5.75"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5.75"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5.75"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5.75"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5.75"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5.75"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5.75"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5.75"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5.75"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5.75"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5.75"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5.75"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5.75"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5.75"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5.75"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5.75"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5.75"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5.75"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5.75"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5.75"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5.75"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5.75"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5.75"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5.75"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5.75"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5.75"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5.75"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5.75"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5.75"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5.75"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5.75"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5.75"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5.75"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5.75"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5.75"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5.75"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5.75"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5.75"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5.75"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5.75"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5.75"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5.75"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5.75"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5.75"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5.75"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5.75"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5.75"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5.75"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5.75"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5.75"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5.75"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5.75"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5.75"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5.75"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5.75"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5.75"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5.75"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5.75"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5.75"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5.75"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5.75"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5.75"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5.75"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5.75"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5.75"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5.75"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5.75"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5.75"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5.75"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5.75"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5.75"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5.75"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5.75"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5.75"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5.75"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5.75"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5.75"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5.75"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5.75"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5.75"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5.75"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5.75"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5.75"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5.75"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5.75"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5.75"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5.75"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5.75"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5.75"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5.75"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5.75"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5.75"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5.75"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5.75"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5.75"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5.75"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5.75"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5.75"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5.75"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5.75"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5.75"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5.75"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5.75"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5.75"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5.75"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5.75"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5.75"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5.75"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5.75"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5.75"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5.75"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5.75"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5.75"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5.75"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5.75"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5.75"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5.75"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5.75"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5.75"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5.75"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5.75"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5.75"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5.75"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5.75"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5.75"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5.75"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5.75"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5.75"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5.75"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5.75"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5.75"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5.75"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5.75"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5.75"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5.75"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5.75"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5.75"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5.75"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5.75"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5.75"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5.75"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5.75"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5.75"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5.75"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5.75"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5.75"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5.75"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5.75"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5.75"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5.75"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5.75"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5.75"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5.75"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5.75"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5.75"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5.75"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5.75"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5.75"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5.75"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5.75"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5.75"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5.75"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5.75"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5.75"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5.75"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5.75"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5.75"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5.75"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5.75"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5.75"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5.75"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5.75"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5.75"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5.75"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5.75"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5.75"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5.75"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5.75"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5.75"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5.75"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5.75"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5.75"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5.75"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5.75"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5.75"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5.75"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5.75"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5.75"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5.75"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5.75"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5.75"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5.75"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5.75"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5.75"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5.75"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5.75"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5.75"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5.75"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5.75"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5.75"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5.75"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5.75"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5.75"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5.75"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5.75"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5.75"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5.75"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5.75"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5.75"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5.75"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5.75"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5.75"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5.75"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5.75"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5.75"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5.75"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5.75"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5.75"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5.75"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5.75"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5.75"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5.75"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5.75"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5.75"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5.75"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5.75"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5.75"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5.75"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5.75"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5.75"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5.75"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5.75"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5.75"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5.75"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5.75"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5.75"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5.75"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5.75"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5.75"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5.75"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5.75"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5.75"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5.75"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5.75"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5.75"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5.75"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5.75"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5.75"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5.75"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5.75"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5.75"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5.75"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5.75"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5.75"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5.75"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5.75"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5.75"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5.75"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5.75"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5.75"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5.75"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5.75"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5.75"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5.75"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5.75"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5.75"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5.75"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5.75"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5.75"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5.75"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5.75"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5.75"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5.75"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5.75"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5.75"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5.75"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5.75"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5.75"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5.75"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5.75"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5.75"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5.75"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5.75"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5.75"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5.75"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5.75"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5.75"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5.75"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5.75"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5.75"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5.75"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5.75"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5.75"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5.75"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5.75"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5.75"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5.75"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5.75"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5.75"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5.75"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5.75"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5.75"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5.75"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5.75"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5.75"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5.75"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5.75"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5.75"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5.75"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5.75"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5.75"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5.75"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5.75"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5.75"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5.75"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5.75"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5.75"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5.75"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5.75"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5.75"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5.75"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5.75"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5.75"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5.75"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5.75"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5.75"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5.75"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5.75"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5.75"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5.75"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5.75"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5.75"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5.75"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5.75"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5.75"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5.75"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5.75"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5.75"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5.75"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5.75"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5.75"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5.75"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5.75"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5.75"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5.75"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5.75"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5.75"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5.75"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5.75"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5.75"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5.75"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5.75"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5.75"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5.75"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5.75"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5.75"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5.75"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5.75"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5.75"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5.75"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5.75"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5.75"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5.75"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5.75"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5.75"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5.75"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5.75"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5.75"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5.75"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5.75"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5.75"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5.75"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5.75"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5.75"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5.75"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5.75"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5.75"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5.75"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5.75"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5.75"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5.75"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5.75"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5.75"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5.75"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5.75"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5.75"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5.75"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5.75"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5.75"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5.75"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5.75"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5.75"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5.75"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5.75"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5.75"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5.75"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5.75"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5.75"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5.75"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5.75"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5.75"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5.75"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5.75"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5.75"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5.75"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5.75"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5.75"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5.75"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5.75"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5.75"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5.75"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5.75"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5.75"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5.75"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5.75"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5.75"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5.75"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5.75"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5.75"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5.75"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5.75"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5.75"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5.75"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5.75"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5.75"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5.75"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5.75"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5.75"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5.75"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5.75"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5.75"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5.75"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5.75"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5.75"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5.75"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5.75"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5.75"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5.75"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5.75"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5.75"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5.75"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5.75"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5.75"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5.75"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5.75"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5.75"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5.75"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5.75"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5.75"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5.75"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5.75"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5.75"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5.75"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5.75"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5.75"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5.75"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5.75"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5.75"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5.75"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5.75"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5.75"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5.75"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5.75"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5.75"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5.75"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5.75"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5.75"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5.75"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5.75"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5.75"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5.75"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5.75"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5.75"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5.75"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5.75"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5.75"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5.75"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5.75"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5.75"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5.75"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5.75"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5.75"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5.75"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5.75"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5.75"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5.75"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5.75"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5.75"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5.75"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5.75"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5.75"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5.75"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5.75"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5.75"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5.75"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5.75"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5.75"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5.75"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5.75"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5.75"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5.75"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5.75"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5.75"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5.75"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5.75"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5.75"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5.75"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5.75"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5.75"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5.75"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5.75"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5.75"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5.75"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5.75"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5.75"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5.75"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5.75"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5.75"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5.75"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5.75"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5.75"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5.75"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5.75"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5.75"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5.75"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5.75"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5.75"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5.75"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5.75"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5.75"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5.75"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5.75"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5.75"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5.75"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5.75"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5.75"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5.75"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5.75"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5.75"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5.75"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5.75"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5.75"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5.75"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5.75"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5.75"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5.75"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5.75"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5.75"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5.75"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5.75"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5.75"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5.75"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5.75"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5.75"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5.75"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5.75"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5.75"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5.75"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5.75"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5.75"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5.75"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5.75"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5.75"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5.75"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5.75"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5.75"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5.75"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5.75"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5.75"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5.75"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5.75"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5.75"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5.75"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5.75"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5.75"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5.75"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5.75"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5.75"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5.75"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5.75"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5.75"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5.75"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5.75"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5.75"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5.75"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5.75"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5.75"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5.75"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5.75"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5.75"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5.75"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5.75"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5.75"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5.75"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5.75"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5.75"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5.75"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5.75"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5.75"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5.75"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5.75"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5.75"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5.75"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5.75"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5.75"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5.75"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5.75"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5.75"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5.75"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5.75"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5.75"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5.75"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5.75"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5.75"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5.75"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5.75"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5.75"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5.75"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5.75"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5.75"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5.75"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5.75"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5.75"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5.75"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5.75"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5.75"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5.75"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5.75"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5.75"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5.75"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5.75"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5.75"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5.75"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5.75"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5.75"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5.75"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5.75"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5.75"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5.75"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5.75"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5.75"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5.75"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5.75"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5.75"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5.75"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5.75"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5.75"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5.75"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5.75"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5.75"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5.75"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5.75"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5.75"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5.75"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5.75"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5.75"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5.75"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5.75"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5.75"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5.75"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5.75"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1D1D-D041-42B2-8842-6880B5943639}">
  <dimension ref="A1:Y41"/>
  <sheetViews>
    <sheetView tabSelected="1" zoomScale="85" zoomScaleNormal="85" workbookViewId="0">
      <selection activeCell="Z15" sqref="Z15"/>
    </sheetView>
  </sheetViews>
  <sheetFormatPr defaultRowHeight="15.75" x14ac:dyDescent="0.3"/>
  <cols>
    <col min="1" max="1" width="2.88671875" style="20" customWidth="1"/>
    <col min="2" max="2" width="3.44140625" style="20" customWidth="1"/>
    <col min="3" max="13" width="8.88671875" style="20"/>
    <col min="14" max="14" width="10" style="20" customWidth="1"/>
    <col min="15" max="20" width="9.77734375" style="20" bestFit="1" customWidth="1"/>
    <col min="21" max="16384" width="8.88671875" style="20"/>
  </cols>
  <sheetData>
    <row r="1" spans="1:25" x14ac:dyDescent="0.3">
      <c r="A1" s="30"/>
      <c r="B1" s="30"/>
      <c r="C1" s="38" t="s">
        <v>1078</v>
      </c>
      <c r="D1" s="38"/>
      <c r="E1" s="38"/>
      <c r="F1" s="38"/>
      <c r="G1" s="38"/>
      <c r="H1" s="38"/>
      <c r="I1" s="38"/>
      <c r="J1" s="38"/>
      <c r="K1" s="38"/>
      <c r="L1" s="38"/>
      <c r="M1" s="38"/>
      <c r="N1" s="38"/>
      <c r="O1" s="38"/>
      <c r="P1" s="38"/>
      <c r="Q1" s="38"/>
      <c r="R1" s="38"/>
      <c r="S1" s="38"/>
      <c r="T1" s="38"/>
      <c r="U1" s="30"/>
      <c r="V1" s="30"/>
      <c r="W1" s="30"/>
      <c r="X1" s="30"/>
      <c r="Y1" s="30"/>
    </row>
    <row r="2" spans="1:25" x14ac:dyDescent="0.3">
      <c r="A2" s="30"/>
      <c r="B2" s="30"/>
      <c r="C2" s="38"/>
      <c r="D2" s="38"/>
      <c r="E2" s="38"/>
      <c r="F2" s="38"/>
      <c r="G2" s="38"/>
      <c r="H2" s="38"/>
      <c r="I2" s="38"/>
      <c r="J2" s="38"/>
      <c r="K2" s="38"/>
      <c r="L2" s="38"/>
      <c r="M2" s="38"/>
      <c r="N2" s="38"/>
      <c r="O2" s="38"/>
      <c r="P2" s="38"/>
      <c r="Q2" s="38"/>
      <c r="R2" s="38"/>
      <c r="S2" s="38"/>
      <c r="T2" s="38"/>
      <c r="U2" s="30"/>
      <c r="V2" s="30"/>
      <c r="W2" s="30"/>
      <c r="X2" s="30"/>
      <c r="Y2" s="30"/>
    </row>
    <row r="3" spans="1:25" x14ac:dyDescent="0.3">
      <c r="A3" s="30"/>
      <c r="B3" s="30"/>
      <c r="C3" s="38"/>
      <c r="D3" s="38"/>
      <c r="E3" s="38"/>
      <c r="F3" s="38"/>
      <c r="G3" s="38"/>
      <c r="H3" s="38"/>
      <c r="I3" s="38"/>
      <c r="J3" s="38"/>
      <c r="K3" s="38"/>
      <c r="L3" s="38"/>
      <c r="M3" s="38"/>
      <c r="N3" s="38"/>
      <c r="O3" s="38"/>
      <c r="P3" s="38"/>
      <c r="Q3" s="38"/>
      <c r="R3" s="38"/>
      <c r="S3" s="38"/>
      <c r="T3" s="38"/>
      <c r="U3" s="30"/>
      <c r="V3" s="30"/>
      <c r="W3" s="30"/>
      <c r="X3" s="30"/>
      <c r="Y3" s="30"/>
    </row>
    <row r="4" spans="1:25" x14ac:dyDescent="0.3">
      <c r="A4" s="30"/>
      <c r="B4" s="30"/>
      <c r="C4" s="38"/>
      <c r="D4" s="38"/>
      <c r="E4" s="38"/>
      <c r="F4" s="38"/>
      <c r="G4" s="38"/>
      <c r="H4" s="38"/>
      <c r="I4" s="38"/>
      <c r="J4" s="38"/>
      <c r="K4" s="38"/>
      <c r="L4" s="38"/>
      <c r="M4" s="38"/>
      <c r="N4" s="38"/>
      <c r="O4" s="38"/>
      <c r="P4" s="38"/>
      <c r="Q4" s="38"/>
      <c r="R4" s="38"/>
      <c r="S4" s="38"/>
      <c r="T4" s="38"/>
      <c r="U4" s="30"/>
      <c r="V4" s="30"/>
      <c r="W4" s="30"/>
      <c r="X4" s="30"/>
      <c r="Y4" s="30"/>
    </row>
    <row r="5" spans="1:25" x14ac:dyDescent="0.3">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3">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3">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3">
      <c r="A8" s="30"/>
      <c r="B8" s="30"/>
      <c r="C8" s="30"/>
      <c r="D8" s="30"/>
      <c r="E8" s="31"/>
      <c r="F8" s="30"/>
      <c r="G8" s="30"/>
      <c r="H8" s="30"/>
      <c r="I8" s="30"/>
      <c r="J8" s="30"/>
      <c r="K8" s="30"/>
      <c r="L8" s="30"/>
      <c r="M8" s="30"/>
      <c r="N8" s="30"/>
      <c r="O8" s="30"/>
      <c r="P8" s="30"/>
      <c r="Q8" s="30"/>
      <c r="R8" s="30"/>
      <c r="S8" s="30"/>
      <c r="T8" s="30"/>
      <c r="U8" s="30"/>
      <c r="V8" s="30"/>
      <c r="W8" s="30"/>
      <c r="X8" s="30"/>
      <c r="Y8" s="30"/>
    </row>
    <row r="9" spans="1:25" x14ac:dyDescent="0.3">
      <c r="A9" s="30"/>
      <c r="B9" s="30"/>
      <c r="C9" s="30"/>
      <c r="D9" s="30"/>
      <c r="E9" s="30"/>
      <c r="F9" s="30"/>
      <c r="G9" s="30"/>
      <c r="H9" s="30"/>
      <c r="I9" s="30"/>
      <c r="J9" s="30"/>
      <c r="K9" s="30"/>
      <c r="L9" s="30"/>
      <c r="M9" s="30"/>
      <c r="N9" s="30"/>
      <c r="O9" s="30"/>
      <c r="P9" s="30"/>
      <c r="Q9" s="30"/>
      <c r="R9" s="30"/>
      <c r="S9" s="30"/>
      <c r="T9" s="30"/>
      <c r="U9" s="30"/>
      <c r="V9" s="30"/>
      <c r="W9" s="30"/>
      <c r="X9" s="30"/>
      <c r="Y9" s="30"/>
    </row>
    <row r="10" spans="1:25" x14ac:dyDescent="0.3">
      <c r="A10" s="30"/>
      <c r="B10" s="30"/>
      <c r="C10" s="30"/>
      <c r="D10" s="30"/>
      <c r="E10" s="30"/>
      <c r="F10" s="30"/>
      <c r="G10" s="30"/>
      <c r="H10" s="30"/>
      <c r="I10" s="30"/>
      <c r="J10" s="30"/>
      <c r="K10" s="30"/>
      <c r="L10" s="30"/>
      <c r="M10" s="30"/>
      <c r="N10" s="30"/>
      <c r="O10" s="30"/>
      <c r="P10" s="30"/>
      <c r="Q10" s="30"/>
      <c r="R10" s="30"/>
      <c r="S10" s="30"/>
      <c r="T10" s="30"/>
      <c r="U10" s="30"/>
      <c r="V10" s="30"/>
      <c r="W10" s="30"/>
      <c r="X10" s="30"/>
      <c r="Y10" s="30"/>
    </row>
    <row r="11" spans="1:25" x14ac:dyDescent="0.3">
      <c r="A11" s="30"/>
      <c r="B11" s="30"/>
      <c r="C11" s="30"/>
      <c r="D11" s="30"/>
      <c r="E11" s="30"/>
      <c r="F11" s="30"/>
      <c r="G11" s="30"/>
      <c r="H11" s="30"/>
      <c r="I11" s="30"/>
      <c r="J11" s="30"/>
      <c r="K11" s="30"/>
      <c r="L11" s="30"/>
      <c r="M11" s="30"/>
      <c r="N11" s="30"/>
      <c r="O11" s="30"/>
      <c r="P11" s="30"/>
      <c r="Q11" s="30"/>
      <c r="R11" s="30"/>
      <c r="S11" s="30"/>
      <c r="T11" s="30"/>
      <c r="U11" s="30"/>
      <c r="V11" s="30"/>
      <c r="W11" s="30"/>
      <c r="X11" s="30"/>
      <c r="Y11" s="30"/>
    </row>
    <row r="12" spans="1:25" x14ac:dyDescent="0.3">
      <c r="A12" s="30"/>
      <c r="B12" s="30"/>
      <c r="C12" s="30"/>
      <c r="D12" s="30"/>
      <c r="E12" s="30"/>
      <c r="F12" s="30"/>
      <c r="G12" s="30"/>
      <c r="H12" s="30"/>
      <c r="I12" s="30"/>
      <c r="J12" s="30"/>
      <c r="K12" s="30"/>
      <c r="L12" s="30"/>
      <c r="M12" s="30"/>
      <c r="N12" s="30"/>
      <c r="O12" s="30"/>
      <c r="P12" s="30"/>
      <c r="Q12" s="30"/>
      <c r="R12" s="30"/>
      <c r="S12" s="30"/>
      <c r="T12" s="30"/>
      <c r="U12" s="30"/>
      <c r="V12" s="30"/>
      <c r="W12" s="30"/>
      <c r="X12" s="30"/>
      <c r="Y12" s="30"/>
    </row>
    <row r="13" spans="1:25" x14ac:dyDescent="0.3">
      <c r="A13" s="30"/>
      <c r="B13" s="30"/>
      <c r="C13" s="30"/>
      <c r="D13" s="30"/>
      <c r="E13" s="30"/>
      <c r="F13" s="30"/>
      <c r="G13" s="30"/>
      <c r="H13" s="30"/>
      <c r="I13" s="30"/>
      <c r="J13" s="30"/>
      <c r="K13" s="30"/>
      <c r="L13" s="30"/>
      <c r="M13" s="30"/>
      <c r="N13" s="30"/>
      <c r="O13" s="30"/>
      <c r="P13" s="30"/>
      <c r="Q13" s="30"/>
      <c r="R13" s="30"/>
      <c r="S13" s="30"/>
      <c r="T13" s="30"/>
      <c r="U13" s="30"/>
      <c r="V13" s="30"/>
      <c r="W13" s="30"/>
      <c r="X13" s="30"/>
      <c r="Y13" s="30"/>
    </row>
    <row r="14" spans="1:25" x14ac:dyDescent="0.3">
      <c r="A14" s="30"/>
      <c r="B14" s="30"/>
      <c r="C14" s="30"/>
      <c r="D14" s="30"/>
      <c r="E14" s="30"/>
      <c r="F14" s="30"/>
      <c r="G14" s="30"/>
      <c r="H14" s="30"/>
      <c r="I14" s="30"/>
      <c r="J14" s="30"/>
      <c r="K14" s="30"/>
      <c r="L14" s="30"/>
      <c r="M14" s="30"/>
      <c r="N14" s="30"/>
      <c r="O14" s="30"/>
      <c r="P14" s="30"/>
      <c r="Q14" s="30"/>
      <c r="R14" s="30"/>
      <c r="S14" s="30"/>
      <c r="T14" s="30"/>
      <c r="U14" s="30"/>
      <c r="V14" s="30"/>
      <c r="W14" s="30"/>
      <c r="X14" s="30"/>
      <c r="Y14" s="30"/>
    </row>
    <row r="15" spans="1:25" x14ac:dyDescent="0.3">
      <c r="A15" s="30"/>
      <c r="B15" s="30"/>
      <c r="C15" s="30"/>
      <c r="D15" s="30"/>
      <c r="E15" s="30"/>
      <c r="F15" s="30"/>
      <c r="G15" s="30"/>
      <c r="H15" s="30"/>
      <c r="I15" s="30"/>
      <c r="J15" s="30"/>
      <c r="K15" s="30"/>
      <c r="L15" s="30"/>
      <c r="M15" s="30"/>
      <c r="N15" s="30"/>
      <c r="O15" s="30"/>
      <c r="P15" s="30"/>
      <c r="Q15" s="30"/>
      <c r="R15" s="30"/>
      <c r="S15" s="30"/>
      <c r="T15" s="30"/>
      <c r="U15" s="30"/>
      <c r="V15" s="30"/>
      <c r="W15" s="30"/>
      <c r="X15" s="30"/>
      <c r="Y15" s="30"/>
    </row>
    <row r="16" spans="1:25" x14ac:dyDescent="0.3">
      <c r="A16" s="30"/>
      <c r="B16" s="30"/>
      <c r="C16" s="30"/>
      <c r="D16" s="30"/>
      <c r="E16" s="30"/>
      <c r="F16" s="30"/>
      <c r="G16" s="30"/>
      <c r="H16" s="30"/>
      <c r="I16" s="30"/>
      <c r="J16" s="30"/>
      <c r="K16" s="30"/>
      <c r="L16" s="30"/>
      <c r="M16" s="30"/>
      <c r="N16" s="30"/>
      <c r="O16" s="30"/>
      <c r="P16" s="30"/>
      <c r="Q16" s="30"/>
      <c r="R16" s="30"/>
      <c r="S16" s="30"/>
      <c r="T16" s="30"/>
      <c r="U16" s="30"/>
      <c r="V16" s="30"/>
      <c r="W16" s="30"/>
      <c r="X16" s="30"/>
      <c r="Y16" s="30"/>
    </row>
    <row r="17" spans="1:25" x14ac:dyDescent="0.3">
      <c r="A17" s="30"/>
      <c r="B17" s="30"/>
      <c r="C17" s="30"/>
      <c r="D17" s="30"/>
      <c r="E17" s="30"/>
      <c r="F17" s="30"/>
      <c r="G17" s="30"/>
      <c r="H17" s="30"/>
      <c r="I17" s="30"/>
      <c r="J17" s="30"/>
      <c r="K17" s="30"/>
      <c r="L17" s="30"/>
      <c r="M17" s="31"/>
      <c r="N17" s="31"/>
      <c r="O17" s="31"/>
      <c r="P17" s="31"/>
      <c r="Q17" s="31"/>
      <c r="R17" s="31"/>
      <c r="S17" s="31"/>
      <c r="T17" s="31"/>
      <c r="U17" s="31"/>
      <c r="V17" s="30"/>
      <c r="W17" s="30"/>
      <c r="X17" s="30"/>
      <c r="Y17" s="30"/>
    </row>
    <row r="18" spans="1:25" x14ac:dyDescent="0.3">
      <c r="A18" s="30"/>
      <c r="B18" s="30"/>
      <c r="C18" s="30"/>
      <c r="D18" s="30"/>
      <c r="E18" s="30"/>
      <c r="F18" s="30"/>
      <c r="G18" s="30"/>
      <c r="H18" s="30"/>
      <c r="I18" s="30"/>
      <c r="J18" s="30"/>
      <c r="K18" s="30"/>
      <c r="L18" s="30"/>
      <c r="M18" s="31"/>
      <c r="N18" s="31"/>
      <c r="O18" s="31"/>
      <c r="P18" s="31"/>
      <c r="Q18" s="31"/>
      <c r="R18" s="31"/>
      <c r="S18" s="31"/>
      <c r="T18" s="31"/>
      <c r="U18" s="31"/>
      <c r="V18" s="30"/>
      <c r="W18" s="30"/>
      <c r="X18" s="30"/>
      <c r="Y18" s="30"/>
    </row>
    <row r="19" spans="1:25" x14ac:dyDescent="0.3">
      <c r="A19" s="30"/>
      <c r="B19" s="30"/>
      <c r="C19" s="30"/>
      <c r="D19" s="30"/>
      <c r="E19" s="30"/>
      <c r="F19" s="30"/>
      <c r="G19" s="30"/>
      <c r="H19" s="30"/>
      <c r="I19" s="30"/>
      <c r="J19" s="30"/>
      <c r="K19" s="30"/>
      <c r="L19" s="33"/>
      <c r="M19" s="33"/>
      <c r="N19" s="33"/>
      <c r="O19" s="33"/>
      <c r="P19" s="33"/>
      <c r="Q19" s="33"/>
      <c r="R19" s="33"/>
      <c r="S19" s="31"/>
      <c r="T19" s="31"/>
      <c r="U19" s="31"/>
      <c r="V19" s="30"/>
      <c r="W19" s="30"/>
      <c r="X19" s="30"/>
      <c r="Y19" s="30"/>
    </row>
    <row r="20" spans="1:25" x14ac:dyDescent="0.3">
      <c r="A20" s="30"/>
      <c r="B20" s="30"/>
      <c r="C20" s="30"/>
      <c r="D20" s="30"/>
      <c r="E20" s="30"/>
      <c r="F20" s="30"/>
      <c r="G20" s="30"/>
      <c r="H20" s="30"/>
      <c r="I20" s="30"/>
      <c r="J20" s="30"/>
      <c r="K20" s="30"/>
      <c r="L20" s="33"/>
      <c r="M20" s="33"/>
      <c r="U20" s="31"/>
      <c r="V20" s="30"/>
      <c r="W20" s="30"/>
      <c r="X20" s="30"/>
      <c r="Y20" s="30"/>
    </row>
    <row r="21" spans="1:25" ht="16.5" x14ac:dyDescent="0.3">
      <c r="A21" s="30"/>
      <c r="B21" s="30"/>
      <c r="C21" s="30"/>
      <c r="D21" s="30"/>
      <c r="E21" s="30"/>
      <c r="F21" s="30"/>
      <c r="G21" s="30"/>
      <c r="H21" s="30"/>
      <c r="I21" s="30"/>
      <c r="J21" s="30"/>
      <c r="K21" s="30"/>
      <c r="L21" s="33"/>
      <c r="M21" s="33"/>
      <c r="N21" s="26"/>
      <c r="O21" s="39" t="str">
        <f>Pivots!B85</f>
        <v>R01</v>
      </c>
      <c r="P21" s="39" t="str">
        <f>Pivots!C85</f>
        <v>R02</v>
      </c>
      <c r="Q21" s="39" t="str">
        <f>Pivots!D85</f>
        <v>R03</v>
      </c>
      <c r="R21" s="39" t="str">
        <f>Pivots!E85</f>
        <v>R04</v>
      </c>
      <c r="S21" s="39" t="str">
        <f>Pivots!F85</f>
        <v>R05</v>
      </c>
      <c r="T21" s="39" t="s">
        <v>1077</v>
      </c>
      <c r="U21" s="31"/>
      <c r="V21" s="30"/>
      <c r="W21" s="30"/>
      <c r="X21" s="30"/>
      <c r="Y21" s="30"/>
    </row>
    <row r="22" spans="1:25" ht="16.5" x14ac:dyDescent="0.3">
      <c r="A22" s="30"/>
      <c r="B22" s="30"/>
      <c r="C22" s="30"/>
      <c r="D22" s="30"/>
      <c r="E22" s="30"/>
      <c r="F22" s="30"/>
      <c r="G22" s="30"/>
      <c r="H22" s="30"/>
      <c r="I22" s="30"/>
      <c r="J22" s="30"/>
      <c r="K22" s="30"/>
      <c r="L22" s="33"/>
      <c r="M22" s="33"/>
      <c r="N22" s="39" t="str" cm="1">
        <f t="array" ref="N22:T39">IF(Pivots!A86:G103="","", Pivots!A86:G103)</f>
        <v>Cincinnati</v>
      </c>
      <c r="O22" s="36" t="str">
        <v/>
      </c>
      <c r="P22" s="36" t="str">
        <v/>
      </c>
      <c r="Q22" s="36" t="str">
        <v/>
      </c>
      <c r="R22" s="36" t="str">
        <v/>
      </c>
      <c r="S22" s="36" t="str">
        <v/>
      </c>
      <c r="T22" s="26" t="str">
        <v/>
      </c>
      <c r="U22" s="31"/>
      <c r="V22" s="30"/>
      <c r="W22" s="30"/>
      <c r="X22" s="30"/>
      <c r="Y22" s="30"/>
    </row>
    <row r="23" spans="1:25" x14ac:dyDescent="0.3">
      <c r="A23" s="30"/>
      <c r="B23" s="30"/>
      <c r="C23" s="30"/>
      <c r="D23" s="30"/>
      <c r="E23" s="30"/>
      <c r="F23" s="30"/>
      <c r="G23" s="30"/>
      <c r="H23" s="30"/>
      <c r="I23" s="30"/>
      <c r="J23" s="30"/>
      <c r="K23" s="30"/>
      <c r="L23" s="33"/>
      <c r="M23" s="33"/>
      <c r="N23" s="36" t="str">
        <v>C0003</v>
      </c>
      <c r="O23" s="37">
        <v>891</v>
      </c>
      <c r="P23" s="37">
        <v>1332</v>
      </c>
      <c r="Q23" s="37">
        <v>1282</v>
      </c>
      <c r="R23" s="37">
        <v>739</v>
      </c>
      <c r="S23" s="37">
        <v>560</v>
      </c>
      <c r="T23" s="37">
        <v>4804</v>
      </c>
      <c r="U23" s="31"/>
      <c r="V23" s="30"/>
      <c r="W23" s="30"/>
      <c r="X23" s="30"/>
      <c r="Y23" s="30"/>
    </row>
    <row r="24" spans="1:25" x14ac:dyDescent="0.3">
      <c r="A24" s="30"/>
      <c r="B24" s="30"/>
      <c r="C24" s="30"/>
      <c r="D24" s="30"/>
      <c r="E24" s="30"/>
      <c r="F24" s="30"/>
      <c r="G24" s="30"/>
      <c r="H24" s="30"/>
      <c r="I24" s="30"/>
      <c r="J24" s="30"/>
      <c r="K24" s="30"/>
      <c r="L24" s="33"/>
      <c r="M24" s="33"/>
      <c r="N24" s="36" t="str">
        <v>C0004</v>
      </c>
      <c r="O24" s="37">
        <v>1991</v>
      </c>
      <c r="P24" s="37">
        <v>1886</v>
      </c>
      <c r="Q24" s="37">
        <v>1206</v>
      </c>
      <c r="R24" s="37">
        <v>884</v>
      </c>
      <c r="S24" s="37">
        <v>1722</v>
      </c>
      <c r="T24" s="37">
        <v>7689</v>
      </c>
      <c r="U24" s="31"/>
      <c r="V24" s="30"/>
      <c r="W24" s="30"/>
      <c r="X24" s="30"/>
      <c r="Y24" s="30"/>
    </row>
    <row r="25" spans="1:25" x14ac:dyDescent="0.3">
      <c r="A25" s="30"/>
      <c r="B25" s="30"/>
      <c r="C25" s="30"/>
      <c r="D25" s="30"/>
      <c r="E25" s="30"/>
      <c r="F25" s="30"/>
      <c r="G25" s="30"/>
      <c r="H25" s="30"/>
      <c r="I25" s="30"/>
      <c r="J25" s="30"/>
      <c r="K25" s="30"/>
      <c r="L25" s="33"/>
      <c r="M25" s="33"/>
      <c r="N25" s="36" t="str">
        <v>C0011</v>
      </c>
      <c r="O25" s="37">
        <v>1163</v>
      </c>
      <c r="P25" s="37">
        <v>1180</v>
      </c>
      <c r="Q25" s="37">
        <v>1616</v>
      </c>
      <c r="R25" s="37">
        <v>1043</v>
      </c>
      <c r="S25" s="37">
        <v>1747</v>
      </c>
      <c r="T25" s="37">
        <v>6749</v>
      </c>
      <c r="U25" s="31"/>
      <c r="V25" s="30"/>
      <c r="W25" s="30"/>
      <c r="X25" s="30"/>
      <c r="Y25" s="30"/>
    </row>
    <row r="26" spans="1:25" x14ac:dyDescent="0.3">
      <c r="A26" s="30"/>
      <c r="B26" s="30"/>
      <c r="C26" s="30"/>
      <c r="D26" s="30"/>
      <c r="E26" s="30"/>
      <c r="F26" s="30"/>
      <c r="G26" s="30"/>
      <c r="H26" s="30"/>
      <c r="I26" s="30"/>
      <c r="J26" s="30"/>
      <c r="K26" s="30"/>
      <c r="L26" s="33"/>
      <c r="M26" s="33"/>
      <c r="N26" s="36" t="str">
        <v>C0012</v>
      </c>
      <c r="O26" s="37">
        <v>1438</v>
      </c>
      <c r="P26" s="37">
        <v>1616</v>
      </c>
      <c r="Q26" s="37">
        <v>866</v>
      </c>
      <c r="R26" s="37">
        <v>829</v>
      </c>
      <c r="S26" s="37">
        <v>2070</v>
      </c>
      <c r="T26" s="37">
        <v>6819</v>
      </c>
      <c r="U26" s="31"/>
      <c r="V26" s="30"/>
      <c r="W26" s="30"/>
      <c r="X26" s="30"/>
      <c r="Y26" s="30"/>
    </row>
    <row r="27" spans="1:25" ht="16.5" x14ac:dyDescent="0.3">
      <c r="A27" s="30"/>
      <c r="B27" s="30"/>
      <c r="C27" s="30"/>
      <c r="D27" s="30"/>
      <c r="E27" s="30"/>
      <c r="F27" s="30"/>
      <c r="G27" s="30"/>
      <c r="H27" s="30"/>
      <c r="I27" s="30"/>
      <c r="J27" s="30"/>
      <c r="K27" s="30"/>
      <c r="L27" s="33"/>
      <c r="M27" s="33"/>
      <c r="N27" s="39" t="str">
        <v>Cleveland</v>
      </c>
      <c r="O27" s="37" t="str">
        <v/>
      </c>
      <c r="P27" s="37" t="str">
        <v/>
      </c>
      <c r="Q27" s="37" t="str">
        <v/>
      </c>
      <c r="R27" s="37" t="str">
        <v/>
      </c>
      <c r="S27" s="37" t="str">
        <v/>
      </c>
      <c r="T27" s="37" t="str">
        <v/>
      </c>
      <c r="U27" s="31"/>
      <c r="V27" s="30"/>
      <c r="W27" s="30"/>
      <c r="X27" s="30"/>
      <c r="Y27" s="30"/>
    </row>
    <row r="28" spans="1:25" x14ac:dyDescent="0.3">
      <c r="A28" s="30"/>
      <c r="B28" s="30"/>
      <c r="C28" s="30"/>
      <c r="D28" s="30"/>
      <c r="E28" s="30"/>
      <c r="F28" s="30"/>
      <c r="G28" s="30"/>
      <c r="H28" s="30"/>
      <c r="I28" s="30"/>
      <c r="J28" s="30"/>
      <c r="K28" s="30"/>
      <c r="L28" s="33"/>
      <c r="M28" s="33"/>
      <c r="N28" s="36" t="str">
        <v>C0002</v>
      </c>
      <c r="O28" s="37">
        <v>1233</v>
      </c>
      <c r="P28" s="37">
        <v>223</v>
      </c>
      <c r="Q28" s="37">
        <v>1680</v>
      </c>
      <c r="R28" s="37">
        <v>990</v>
      </c>
      <c r="S28" s="37">
        <v>1508</v>
      </c>
      <c r="T28" s="37">
        <v>5634</v>
      </c>
      <c r="U28" s="31"/>
      <c r="V28" s="30"/>
      <c r="W28" s="30"/>
      <c r="X28" s="30"/>
      <c r="Y28" s="30"/>
    </row>
    <row r="29" spans="1:25" x14ac:dyDescent="0.3">
      <c r="A29" s="30"/>
      <c r="B29" s="30"/>
      <c r="C29" s="30"/>
      <c r="D29" s="30"/>
      <c r="E29" s="30"/>
      <c r="F29" s="30"/>
      <c r="G29" s="30"/>
      <c r="H29" s="30"/>
      <c r="I29" s="30"/>
      <c r="J29" s="30"/>
      <c r="K29" s="30"/>
      <c r="L29" s="33"/>
      <c r="M29" s="33"/>
      <c r="N29" s="36" t="str">
        <v>C0007</v>
      </c>
      <c r="O29" s="37">
        <v>1598</v>
      </c>
      <c r="P29" s="37">
        <v>1907</v>
      </c>
      <c r="Q29" s="37">
        <v>869</v>
      </c>
      <c r="R29" s="37">
        <v>1426</v>
      </c>
      <c r="S29" s="37">
        <v>1416</v>
      </c>
      <c r="T29" s="37">
        <v>7216</v>
      </c>
      <c r="U29" s="31"/>
      <c r="V29" s="30"/>
      <c r="W29" s="30"/>
      <c r="X29" s="30"/>
      <c r="Y29" s="30"/>
    </row>
    <row r="30" spans="1:25" x14ac:dyDescent="0.3">
      <c r="A30" s="30"/>
      <c r="B30" s="30"/>
      <c r="C30" s="30"/>
      <c r="D30" s="30"/>
      <c r="E30" s="30"/>
      <c r="F30" s="30"/>
      <c r="G30" s="30"/>
      <c r="H30" s="30"/>
      <c r="I30" s="30"/>
      <c r="J30" s="30"/>
      <c r="K30" s="30"/>
      <c r="L30" s="33"/>
      <c r="M30" s="33"/>
      <c r="N30" s="36" t="str">
        <v>C0008</v>
      </c>
      <c r="O30" s="37">
        <v>900</v>
      </c>
      <c r="P30" s="37">
        <v>1016</v>
      </c>
      <c r="Q30" s="37">
        <v>960</v>
      </c>
      <c r="R30" s="37">
        <v>940</v>
      </c>
      <c r="S30" s="37">
        <v>1193</v>
      </c>
      <c r="T30" s="37">
        <v>5009</v>
      </c>
      <c r="U30" s="31"/>
      <c r="V30" s="30"/>
      <c r="W30" s="30"/>
      <c r="X30" s="30"/>
      <c r="Y30" s="30"/>
    </row>
    <row r="31" spans="1:25" x14ac:dyDescent="0.3">
      <c r="A31" s="30"/>
      <c r="B31" s="30"/>
      <c r="C31" s="30"/>
      <c r="D31" s="30"/>
      <c r="E31" s="30"/>
      <c r="F31" s="30"/>
      <c r="G31" s="30"/>
      <c r="H31" s="30"/>
      <c r="I31" s="30"/>
      <c r="J31" s="30"/>
      <c r="K31" s="30"/>
      <c r="L31" s="33"/>
      <c r="M31" s="33"/>
      <c r="N31" s="36" t="str">
        <v>C0010</v>
      </c>
      <c r="O31" s="37">
        <v>900</v>
      </c>
      <c r="P31" s="37">
        <v>1470</v>
      </c>
      <c r="Q31" s="37">
        <v>1617</v>
      </c>
      <c r="R31" s="37">
        <v>1314</v>
      </c>
      <c r="S31" s="37">
        <v>941</v>
      </c>
      <c r="T31" s="37">
        <v>6242</v>
      </c>
      <c r="U31" s="31"/>
      <c r="V31" s="30"/>
      <c r="W31" s="30"/>
      <c r="X31" s="30"/>
      <c r="Y31" s="30"/>
    </row>
    <row r="32" spans="1:25" x14ac:dyDescent="0.3">
      <c r="A32" s="30"/>
      <c r="B32" s="30"/>
      <c r="C32" s="30"/>
      <c r="D32" s="30"/>
      <c r="E32" s="30"/>
      <c r="F32" s="30"/>
      <c r="G32" s="30"/>
      <c r="H32" s="30"/>
      <c r="I32" s="30"/>
      <c r="J32" s="30"/>
      <c r="K32" s="30"/>
      <c r="L32" s="33"/>
      <c r="M32" s="33"/>
      <c r="N32" s="36" t="str">
        <v>C0013</v>
      </c>
      <c r="O32" s="37">
        <v>1255</v>
      </c>
      <c r="P32" s="37">
        <v>516</v>
      </c>
      <c r="Q32" s="37">
        <v>1874</v>
      </c>
      <c r="R32" s="37">
        <v>1863</v>
      </c>
      <c r="S32" s="37">
        <v>1722</v>
      </c>
      <c r="T32" s="37">
        <v>7230</v>
      </c>
      <c r="U32" s="31"/>
      <c r="V32" s="30"/>
      <c r="W32" s="30"/>
      <c r="X32" s="30"/>
      <c r="Y32" s="30"/>
    </row>
    <row r="33" spans="1:25" x14ac:dyDescent="0.3">
      <c r="A33" s="30"/>
      <c r="B33" s="30"/>
      <c r="C33" s="30"/>
      <c r="D33" s="30"/>
      <c r="E33" s="30"/>
      <c r="F33" s="30"/>
      <c r="G33" s="30"/>
      <c r="H33" s="30"/>
      <c r="I33" s="30"/>
      <c r="J33" s="30"/>
      <c r="K33" s="30"/>
      <c r="L33" s="33"/>
      <c r="M33" s="33"/>
      <c r="N33" s="36" t="str">
        <v>C0015</v>
      </c>
      <c r="O33" s="37">
        <v>1138</v>
      </c>
      <c r="P33" s="37">
        <v>1898</v>
      </c>
      <c r="Q33" s="37">
        <v>1482</v>
      </c>
      <c r="R33" s="37">
        <v>846</v>
      </c>
      <c r="S33" s="37">
        <v>1154</v>
      </c>
      <c r="T33" s="37">
        <v>6518</v>
      </c>
      <c r="U33" s="31"/>
      <c r="V33" s="30"/>
      <c r="W33" s="30"/>
      <c r="X33" s="30"/>
      <c r="Y33" s="30"/>
    </row>
    <row r="34" spans="1:25" ht="16.5" x14ac:dyDescent="0.3">
      <c r="A34" s="30"/>
      <c r="B34" s="30"/>
      <c r="C34" s="30"/>
      <c r="D34" s="30"/>
      <c r="E34" s="30"/>
      <c r="F34" s="30"/>
      <c r="G34" s="30"/>
      <c r="H34" s="30"/>
      <c r="I34" s="30"/>
      <c r="J34" s="30"/>
      <c r="K34" s="30"/>
      <c r="L34" s="33"/>
      <c r="M34" s="33"/>
      <c r="N34" s="39" t="str">
        <v>Columbus</v>
      </c>
      <c r="O34" s="37" t="str">
        <v/>
      </c>
      <c r="P34" s="37" t="str">
        <v/>
      </c>
      <c r="Q34" s="37" t="str">
        <v/>
      </c>
      <c r="R34" s="37" t="str">
        <v/>
      </c>
      <c r="S34" s="37" t="str">
        <v/>
      </c>
      <c r="T34" s="37" t="str">
        <v/>
      </c>
      <c r="U34" s="31"/>
      <c r="V34" s="30"/>
      <c r="W34" s="30"/>
      <c r="X34" s="30"/>
      <c r="Y34" s="30"/>
    </row>
    <row r="35" spans="1:25" x14ac:dyDescent="0.3">
      <c r="A35" s="30"/>
      <c r="B35" s="30"/>
      <c r="C35" s="30"/>
      <c r="D35" s="30"/>
      <c r="E35" s="30"/>
      <c r="F35" s="30"/>
      <c r="G35" s="30"/>
      <c r="H35" s="30"/>
      <c r="I35" s="30"/>
      <c r="J35" s="30"/>
      <c r="K35" s="30"/>
      <c r="L35" s="33"/>
      <c r="M35" s="33"/>
      <c r="N35" s="36" t="str">
        <v>C0001</v>
      </c>
      <c r="O35" s="37">
        <v>1655</v>
      </c>
      <c r="P35" s="37">
        <v>805</v>
      </c>
      <c r="Q35" s="37">
        <v>2263</v>
      </c>
      <c r="R35" s="37">
        <v>987</v>
      </c>
      <c r="S35" s="37">
        <v>1075</v>
      </c>
      <c r="T35" s="37">
        <v>6785</v>
      </c>
      <c r="U35" s="31"/>
      <c r="V35" s="30"/>
      <c r="W35" s="30"/>
      <c r="X35" s="30"/>
      <c r="Y35" s="30"/>
    </row>
    <row r="36" spans="1:25" x14ac:dyDescent="0.3">
      <c r="A36" s="30"/>
      <c r="B36" s="30"/>
      <c r="C36" s="30"/>
      <c r="D36" s="30"/>
      <c r="E36" s="30"/>
      <c r="F36" s="30"/>
      <c r="G36" s="30"/>
      <c r="H36" s="30"/>
      <c r="I36" s="30"/>
      <c r="J36" s="30"/>
      <c r="K36" s="30"/>
      <c r="L36" s="33"/>
      <c r="M36" s="33"/>
      <c r="N36" s="36" t="str">
        <v>C0005</v>
      </c>
      <c r="O36" s="37">
        <v>1104</v>
      </c>
      <c r="P36" s="37">
        <v>2280</v>
      </c>
      <c r="Q36" s="37">
        <v>1445</v>
      </c>
      <c r="R36" s="37">
        <v>1722</v>
      </c>
      <c r="S36" s="37">
        <v>1196</v>
      </c>
      <c r="T36" s="37">
        <v>7747</v>
      </c>
      <c r="U36" s="31"/>
      <c r="V36" s="30"/>
      <c r="W36" s="30"/>
      <c r="X36" s="30"/>
      <c r="Y36" s="30"/>
    </row>
    <row r="37" spans="1:25" x14ac:dyDescent="0.3">
      <c r="A37" s="30"/>
      <c r="B37" s="30"/>
      <c r="C37" s="30"/>
      <c r="D37" s="30"/>
      <c r="E37" s="30"/>
      <c r="F37" s="30"/>
      <c r="G37" s="30"/>
      <c r="H37" s="30"/>
      <c r="I37" s="30"/>
      <c r="J37" s="30"/>
      <c r="K37" s="30"/>
      <c r="L37" s="30"/>
      <c r="M37" s="33"/>
      <c r="N37" s="36" t="str">
        <v>C0006</v>
      </c>
      <c r="O37" s="37">
        <v>372</v>
      </c>
      <c r="P37" s="37">
        <v>1818</v>
      </c>
      <c r="Q37" s="37">
        <v>1346</v>
      </c>
      <c r="R37" s="37">
        <v>1156</v>
      </c>
      <c r="S37" s="37">
        <v>1484</v>
      </c>
      <c r="T37" s="37">
        <v>6176</v>
      </c>
      <c r="U37" s="30"/>
      <c r="V37" s="30"/>
      <c r="W37" s="30"/>
      <c r="X37" s="30"/>
      <c r="Y37" s="30"/>
    </row>
    <row r="38" spans="1:25" x14ac:dyDescent="0.3">
      <c r="A38" s="30"/>
      <c r="B38" s="30"/>
      <c r="C38" s="30"/>
      <c r="D38" s="30"/>
      <c r="E38" s="30"/>
      <c r="F38" s="30"/>
      <c r="G38" s="30"/>
      <c r="H38" s="30"/>
      <c r="I38" s="30"/>
      <c r="J38" s="30"/>
      <c r="K38" s="30"/>
      <c r="L38" s="30"/>
      <c r="M38" s="33"/>
      <c r="N38" s="36" t="str">
        <v>C0009</v>
      </c>
      <c r="O38" s="37">
        <v>1415</v>
      </c>
      <c r="P38" s="37">
        <v>1271</v>
      </c>
      <c r="Q38" s="37">
        <v>1214</v>
      </c>
      <c r="R38" s="37">
        <v>1135</v>
      </c>
      <c r="S38" s="37">
        <v>1566</v>
      </c>
      <c r="T38" s="37">
        <v>6601</v>
      </c>
      <c r="U38" s="30"/>
      <c r="V38" s="30"/>
      <c r="W38" s="30"/>
      <c r="X38" s="30"/>
      <c r="Y38" s="30"/>
    </row>
    <row r="39" spans="1:25" x14ac:dyDescent="0.3">
      <c r="A39" s="30"/>
      <c r="B39" s="30"/>
      <c r="C39" s="30"/>
      <c r="D39" s="30"/>
      <c r="E39" s="30"/>
      <c r="F39" s="30"/>
      <c r="G39" s="30"/>
      <c r="H39" s="30"/>
      <c r="I39" s="30"/>
      <c r="J39" s="30"/>
      <c r="K39" s="30"/>
      <c r="L39" s="30"/>
      <c r="M39" s="30"/>
      <c r="N39" s="36" t="str">
        <v>C0014</v>
      </c>
      <c r="O39" s="37">
        <v>1362</v>
      </c>
      <c r="P39" s="37">
        <v>1363</v>
      </c>
      <c r="Q39" s="37">
        <v>1152</v>
      </c>
      <c r="R39" s="37">
        <v>777</v>
      </c>
      <c r="S39" s="37">
        <v>750</v>
      </c>
      <c r="T39" s="37">
        <v>5404</v>
      </c>
      <c r="U39" s="30"/>
      <c r="V39" s="30"/>
      <c r="W39" s="30"/>
      <c r="X39" s="30"/>
      <c r="Y39" s="30"/>
    </row>
    <row r="40" spans="1:25" x14ac:dyDescent="0.3">
      <c r="A40" s="30"/>
      <c r="B40" s="30"/>
      <c r="C40" s="30"/>
      <c r="D40" s="30"/>
      <c r="E40" s="30"/>
      <c r="F40" s="30"/>
      <c r="G40" s="30"/>
      <c r="H40" s="30"/>
      <c r="I40" s="30"/>
      <c r="J40" s="30"/>
      <c r="K40" s="30"/>
      <c r="L40" s="30"/>
      <c r="M40" s="30"/>
      <c r="N40" s="34"/>
      <c r="O40" s="35"/>
      <c r="P40" s="35"/>
      <c r="Q40" s="35"/>
      <c r="R40" s="35"/>
      <c r="S40" s="35"/>
      <c r="T40" s="35"/>
      <c r="U40" s="30"/>
      <c r="V40" s="30"/>
      <c r="W40" s="30"/>
      <c r="X40" s="30"/>
      <c r="Y40" s="30"/>
    </row>
    <row r="41" spans="1:25" x14ac:dyDescent="0.3">
      <c r="A41" s="30"/>
      <c r="B41" s="30"/>
      <c r="C41" s="30"/>
      <c r="D41" s="30"/>
      <c r="E41" s="30"/>
      <c r="F41" s="30"/>
      <c r="G41" s="30"/>
      <c r="H41" s="30"/>
      <c r="I41" s="30"/>
      <c r="J41" s="30"/>
      <c r="K41" s="30"/>
      <c r="L41" s="30"/>
      <c r="M41" s="30"/>
      <c r="N41" s="30"/>
      <c r="O41" s="31"/>
      <c r="P41" s="31"/>
      <c r="Q41" s="31"/>
      <c r="R41" s="31"/>
      <c r="S41" s="31"/>
      <c r="T41" s="31"/>
      <c r="U41" s="30"/>
      <c r="V41" s="30"/>
      <c r="W41" s="30"/>
      <c r="X41" s="30"/>
      <c r="Y41" s="30"/>
    </row>
  </sheetData>
  <mergeCells count="1">
    <mergeCell ref="C1:T4"/>
  </mergeCells>
  <conditionalFormatting sqref="O23:S38">
    <cfRule type="dataBar" priority="2">
      <dataBar>
        <cfvo type="num" val="0"/>
        <cfvo type="formula" val="MAX($O$23:$S$39)*2"/>
        <color theme="1" tint="0.14999847407452621"/>
      </dataBar>
      <extLst>
        <ext xmlns:x14="http://schemas.microsoft.com/office/spreadsheetml/2009/9/main" uri="{B025F937-C7B1-47D3-B67F-A62EFF666E3E}">
          <x14:id>{F1A0BDC0-7933-4630-8EC2-E607420AF398}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1A0BDC0-7933-4630-8EC2-E607420AF398}">
            <x14:dataBar minLength="0" maxLength="100" gradient="0">
              <x14:cfvo type="num">
                <xm:f>0</xm:f>
              </x14:cfvo>
              <x14:cfvo type="formula">
                <xm:f>MAX($O$23:$S$39)*2</xm:f>
              </x14:cfvo>
              <x14:negativeFillColor rgb="FFFF0000"/>
              <x14:axisColor rgb="FF000000"/>
            </x14:dataBar>
          </x14:cfRule>
          <xm:sqref>O23:S38</xm:sqref>
        </x14:conditionalFormatting>
        <x14:conditionalFormatting xmlns:xm="http://schemas.microsoft.com/office/excel/2006/main">
          <x14:cfRule type="expression" priority="4" id="{2D8A9ECC-4712-43EC-B171-99DECC559124}">
            <xm:f>O$21=Pivots!$A$56</xm:f>
            <x14:dxf>
              <fill>
                <patternFill>
                  <bgColor theme="8" tint="0.59996337778862885"/>
                </patternFill>
              </fill>
              <border>
                <vertical/>
                <horizontal/>
              </border>
            </x14:dxf>
          </x14:cfRule>
          <xm:sqref>O21:S39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Normal="100" workbookViewId="0">
      <selection activeCell="E30" sqref="E30"/>
    </sheetView>
  </sheetViews>
  <sheetFormatPr defaultRowHeight="15.75" x14ac:dyDescent="0.3"/>
  <cols>
    <col min="5" max="5" width="11" customWidth="1"/>
    <col min="6" max="6" width="12"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shivam mahadik</cp:lastModifiedBy>
  <dcterms:created xsi:type="dcterms:W3CDTF">2021-03-14T20:21:32Z</dcterms:created>
  <dcterms:modified xsi:type="dcterms:W3CDTF">2026-03-30T09:35:54Z</dcterms:modified>
</cp:coreProperties>
</file>